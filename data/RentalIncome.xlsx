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" sheetId="1" r:id="rId4"/>
    <sheet state="visible" name="Rental" sheetId="2" r:id="rId5"/>
    <sheet state="visible" name="HomeLoan" sheetId="3" r:id="rId6"/>
    <sheet state="visible" name="Sheet3" sheetId="4" r:id="rId7"/>
  </sheets>
  <definedNames/>
  <calcPr/>
  <extLst>
    <ext uri="GoogleSheetsCustomDataVersion2">
      <go:sheetsCustomData xmlns:go="http://customooxmlschemas.google.com/" r:id="rId8" roundtripDataChecksum="87HE4cJE34OrGVe/edtoYaLUg0RQMMzdQ2yG9/xDuEM="/>
    </ext>
  </extLst>
</workbook>
</file>

<file path=xl/sharedStrings.xml><?xml version="1.0" encoding="utf-8"?>
<sst xmlns="http://schemas.openxmlformats.org/spreadsheetml/2006/main" count="112" uniqueCount="66">
  <si>
    <t>Yr</t>
  </si>
  <si>
    <t>Age</t>
  </si>
  <si>
    <t>Start</t>
  </si>
  <si>
    <t>Returns</t>
  </si>
  <si>
    <t>Mthly</t>
  </si>
  <si>
    <t>Annual</t>
  </si>
  <si>
    <t>Bonus</t>
  </si>
  <si>
    <t>End</t>
  </si>
  <si>
    <t>Den</t>
  </si>
  <si>
    <t>TT</t>
  </si>
  <si>
    <t>Capital</t>
  </si>
  <si>
    <t>Loan</t>
  </si>
  <si>
    <t>Loan %</t>
  </si>
  <si>
    <t>Condo</t>
  </si>
  <si>
    <t>APPRECIATION</t>
  </si>
  <si>
    <t>RENTAL</t>
  </si>
  <si>
    <t>TOTAL</t>
  </si>
  <si>
    <t>YIELD</t>
  </si>
  <si>
    <t>LOAN</t>
  </si>
  <si>
    <t>PRINCIPAL</t>
  </si>
  <si>
    <t>CASHFLOW</t>
  </si>
  <si>
    <t>RENT</t>
  </si>
  <si>
    <t>EXPENSES</t>
  </si>
  <si>
    <t>DEN</t>
  </si>
  <si>
    <t>Year</t>
  </si>
  <si>
    <t>Price</t>
  </si>
  <si>
    <t>ProfitApp-Y</t>
  </si>
  <si>
    <t>%</t>
  </si>
  <si>
    <t>Rent-M</t>
  </si>
  <si>
    <t>Int-M</t>
  </si>
  <si>
    <t>Agent-M</t>
  </si>
  <si>
    <t>Mgmt-M</t>
  </si>
  <si>
    <t>ProfitRent-M</t>
  </si>
  <si>
    <t>ProfitRent-Y</t>
  </si>
  <si>
    <t>Profit-Y</t>
  </si>
  <si>
    <t>Annualised</t>
  </si>
  <si>
    <t>Prin End</t>
  </si>
  <si>
    <t>Yield</t>
  </si>
  <si>
    <t>Loan Start</t>
  </si>
  <si>
    <t>Instal-M</t>
  </si>
  <si>
    <t>Prin-M</t>
  </si>
  <si>
    <t>Loan End</t>
  </si>
  <si>
    <t>Prin Start</t>
  </si>
  <si>
    <t>Int-Y</t>
  </si>
  <si>
    <t>Prin-Y</t>
  </si>
  <si>
    <t>Check Prin End</t>
  </si>
  <si>
    <t>Balance</t>
  </si>
  <si>
    <t>Instal-TT</t>
  </si>
  <si>
    <t>Instal-Den</t>
  </si>
  <si>
    <t>Den-CPFOA</t>
  </si>
  <si>
    <t>Den-Cash</t>
  </si>
  <si>
    <t>Instal-TT-Y</t>
  </si>
  <si>
    <t>Loan Amount</t>
  </si>
  <si>
    <t>Annual Interest Rate</t>
  </si>
  <si>
    <t>Loan Tenure (years)</t>
  </si>
  <si>
    <t>Monthly Interest</t>
  </si>
  <si>
    <t>Total Months</t>
  </si>
  <si>
    <t>Monthly Payment</t>
  </si>
  <si>
    <t>Month</t>
  </si>
  <si>
    <t>Opening Balance</t>
  </si>
  <si>
    <t>Interest</t>
  </si>
  <si>
    <t>Principal</t>
  </si>
  <si>
    <t>Prepayment</t>
  </si>
  <si>
    <t>Closing Balance</t>
  </si>
  <si>
    <t>Interest for 12 mths</t>
  </si>
  <si>
    <t>Int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</si>
</sst>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%"/>
    <numFmt numFmtId="165" formatCode="_-* #,##0_-;\-* #,##0_-;_-* &quot;-&quot;??_-;_-@"/>
    <numFmt numFmtId="166" formatCode="0.0000%"/>
    <numFmt numFmtId="167" formatCode="&quot;$&quot;#,##0.00;[Red]\-&quot;$&quot;#,##0.00"/>
  </numFmts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0.0"/>
      <color theme="1"/>
      <name val="Arimo"/>
    </font>
    <font>
      <b/>
      <sz val="14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C2D69B"/>
        <bgColor rgb="FFC2D69B"/>
      </patternFill>
    </fill>
    <fill>
      <patternFill patternType="solid">
        <fgColor rgb="FF95B3D7"/>
        <bgColor rgb="FF95B3D7"/>
      </patternFill>
    </fill>
    <fill>
      <patternFill patternType="solid">
        <fgColor rgb="FFCCC0D9"/>
        <bgColor rgb="FFCCC0D9"/>
      </patternFill>
    </fill>
    <fill>
      <patternFill patternType="solid">
        <fgColor rgb="FFE5B8B7"/>
        <bgColor rgb="FFE5B8B7"/>
      </patternFill>
    </fill>
    <fill>
      <patternFill patternType="solid">
        <fgColor rgb="FFFBD4B4"/>
        <bgColor rgb="FFFBD4B4"/>
      </patternFill>
    </fill>
    <fill>
      <patternFill patternType="solid">
        <fgColor theme="6"/>
        <bgColor theme="6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9" xfId="0" applyFont="1" applyNumberFormat="1"/>
    <xf borderId="0" fillId="0" fontId="2" numFmtId="3" xfId="0" applyFont="1" applyNumberFormat="1"/>
    <xf borderId="0" fillId="0" fontId="2" numFmtId="1" xfId="0" applyFont="1" applyNumberFormat="1"/>
    <xf borderId="1" fillId="2" fontId="2" numFmtId="0" xfId="0" applyBorder="1" applyFill="1" applyFont="1"/>
    <xf borderId="1" fillId="3" fontId="2" numFmtId="0" xfId="0" applyBorder="1" applyFill="1" applyFont="1"/>
    <xf borderId="1" fillId="4" fontId="2" numFmtId="0" xfId="0" applyBorder="1" applyFill="1" applyFont="1"/>
    <xf borderId="1" fillId="5" fontId="2" numFmtId="0" xfId="0" applyBorder="1" applyFill="1" applyFont="1"/>
    <xf borderId="1" fillId="6" fontId="2" numFmtId="0" xfId="0" applyBorder="1" applyFill="1" applyFont="1"/>
    <xf borderId="1" fillId="7" fontId="2" numFmtId="0" xfId="0" applyBorder="1" applyFill="1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2" numFmtId="165" xfId="0" applyFont="1" applyNumberFormat="1"/>
    <xf borderId="0" fillId="0" fontId="2" numFmtId="0" xfId="0" applyAlignment="1" applyFont="1">
      <alignment shrinkToFit="0" wrapText="1"/>
    </xf>
    <xf borderId="0" fillId="0" fontId="3" numFmtId="3" xfId="0" applyAlignment="1" applyFont="1" applyNumberFormat="1">
      <alignment shrinkToFit="0" wrapText="1"/>
    </xf>
    <xf borderId="0" fillId="0" fontId="2" numFmtId="4" xfId="0" applyAlignment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0" fillId="0" fontId="3" numFmtId="10" xfId="0" applyAlignment="1" applyFont="1" applyNumberFormat="1">
      <alignment shrinkToFit="0" wrapText="1"/>
    </xf>
    <xf borderId="0" fillId="0" fontId="3" numFmtId="0" xfId="0" applyAlignment="1" applyFont="1">
      <alignment shrinkToFit="0" wrapText="1"/>
    </xf>
    <xf borderId="0" fillId="0" fontId="4" numFmtId="166" xfId="0" applyAlignment="1" applyFont="1" applyNumberFormat="1">
      <alignment shrinkToFit="0" wrapText="1"/>
    </xf>
    <xf borderId="0" fillId="0" fontId="4" numFmtId="0" xfId="0" applyAlignment="1" applyFont="1">
      <alignment shrinkToFit="0" wrapText="1"/>
    </xf>
    <xf borderId="0" fillId="0" fontId="2" numFmtId="167" xfId="0" applyFont="1" applyNumberFormat="1"/>
    <xf borderId="2" fillId="7" fontId="5" numFmtId="0" xfId="0" applyBorder="1" applyFont="1"/>
    <xf borderId="0" fillId="0" fontId="2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12.0"/>
    <col customWidth="1" min="5" max="8" width="8.71"/>
    <col customWidth="1" min="9" max="9" width="12.14"/>
    <col customWidth="1" min="10" max="26" width="8.71"/>
  </cols>
  <sheetData>
    <row r="1">
      <c r="C1" s="1">
        <v>2001.0</v>
      </c>
      <c r="E1" s="2">
        <v>0.05</v>
      </c>
      <c r="F1" s="2">
        <v>0.03</v>
      </c>
      <c r="H1" s="2">
        <v>0.03</v>
      </c>
    </row>
    <row r="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</row>
    <row r="3">
      <c r="B3" s="1">
        <v>1.0</v>
      </c>
      <c r="C3" s="1">
        <f t="shared" ref="C3:C28" si="1">2026-C$1+B3-1</f>
        <v>25</v>
      </c>
      <c r="D3" s="3">
        <v>10000.0</v>
      </c>
      <c r="E3" s="4">
        <f t="shared" ref="E3:E28" si="2">E$1*D3</f>
        <v>500</v>
      </c>
      <c r="F3" s="3">
        <v>1000.0</v>
      </c>
      <c r="G3" s="1">
        <f t="shared" ref="G3:G28" si="3">F3*12</f>
        <v>12000</v>
      </c>
      <c r="H3" s="3">
        <v>5000.0</v>
      </c>
      <c r="I3" s="3">
        <f t="shared" ref="I3:I28" si="4">D3+E3+G3+H3</f>
        <v>27500</v>
      </c>
    </row>
    <row r="4">
      <c r="B4" s="1">
        <f t="shared" ref="B4:B28" si="5">B3+1</f>
        <v>2</v>
      </c>
      <c r="C4" s="1">
        <f t="shared" si="1"/>
        <v>26</v>
      </c>
      <c r="D4" s="3">
        <f t="shared" ref="D4:D28" si="6">I3</f>
        <v>27500</v>
      </c>
      <c r="E4" s="4">
        <f t="shared" si="2"/>
        <v>1375</v>
      </c>
      <c r="F4" s="4">
        <f t="shared" ref="F4:F28" si="7">F$1*F3+F3</f>
        <v>1030</v>
      </c>
      <c r="G4" s="1">
        <f t="shared" si="3"/>
        <v>12360</v>
      </c>
      <c r="H4" s="4">
        <f t="shared" ref="H4:H28" si="8">H$1*H3+H3</f>
        <v>5150</v>
      </c>
      <c r="I4" s="3">
        <f t="shared" si="4"/>
        <v>46385</v>
      </c>
    </row>
    <row r="5">
      <c r="B5" s="1">
        <f t="shared" si="5"/>
        <v>3</v>
      </c>
      <c r="C5" s="1">
        <f t="shared" si="1"/>
        <v>27</v>
      </c>
      <c r="D5" s="3">
        <f t="shared" si="6"/>
        <v>46385</v>
      </c>
      <c r="E5" s="4">
        <f t="shared" si="2"/>
        <v>2319.25</v>
      </c>
      <c r="F5" s="4">
        <f t="shared" si="7"/>
        <v>1060.9</v>
      </c>
      <c r="G5" s="1">
        <f t="shared" si="3"/>
        <v>12730.8</v>
      </c>
      <c r="H5" s="4">
        <f t="shared" si="8"/>
        <v>5304.5</v>
      </c>
      <c r="I5" s="3">
        <f t="shared" si="4"/>
        <v>66739.55</v>
      </c>
    </row>
    <row r="6">
      <c r="B6" s="1">
        <f t="shared" si="5"/>
        <v>4</v>
      </c>
      <c r="C6" s="1">
        <f t="shared" si="1"/>
        <v>28</v>
      </c>
      <c r="D6" s="3">
        <f t="shared" si="6"/>
        <v>66739.55</v>
      </c>
      <c r="E6" s="4">
        <f t="shared" si="2"/>
        <v>3336.9775</v>
      </c>
      <c r="F6" s="4">
        <f t="shared" si="7"/>
        <v>1092.727</v>
      </c>
      <c r="G6" s="1">
        <f t="shared" si="3"/>
        <v>13112.724</v>
      </c>
      <c r="H6" s="4">
        <f t="shared" si="8"/>
        <v>5463.635</v>
      </c>
      <c r="I6" s="3">
        <f t="shared" si="4"/>
        <v>88652.8865</v>
      </c>
    </row>
    <row r="7">
      <c r="B7" s="1">
        <f t="shared" si="5"/>
        <v>5</v>
      </c>
      <c r="C7" s="1">
        <f t="shared" si="1"/>
        <v>29</v>
      </c>
      <c r="D7" s="3">
        <f t="shared" si="6"/>
        <v>88652.8865</v>
      </c>
      <c r="E7" s="4">
        <f t="shared" si="2"/>
        <v>4432.644325</v>
      </c>
      <c r="F7" s="4">
        <f t="shared" si="7"/>
        <v>1125.50881</v>
      </c>
      <c r="G7" s="1">
        <f t="shared" si="3"/>
        <v>13506.10572</v>
      </c>
      <c r="H7" s="4">
        <f t="shared" si="8"/>
        <v>5627.54405</v>
      </c>
      <c r="I7" s="3">
        <f t="shared" si="4"/>
        <v>112219.1806</v>
      </c>
    </row>
    <row r="8">
      <c r="B8" s="1">
        <f t="shared" si="5"/>
        <v>6</v>
      </c>
      <c r="C8" s="1">
        <f t="shared" si="1"/>
        <v>30</v>
      </c>
      <c r="D8" s="3">
        <f t="shared" si="6"/>
        <v>112219.1806</v>
      </c>
      <c r="E8" s="4">
        <f t="shared" si="2"/>
        <v>5610.95903</v>
      </c>
      <c r="F8" s="4">
        <f t="shared" si="7"/>
        <v>1159.274074</v>
      </c>
      <c r="G8" s="1">
        <f t="shared" si="3"/>
        <v>13911.28889</v>
      </c>
      <c r="H8" s="4">
        <f t="shared" si="8"/>
        <v>5796.370372</v>
      </c>
      <c r="I8" s="3">
        <f t="shared" si="4"/>
        <v>137537.7989</v>
      </c>
    </row>
    <row r="9">
      <c r="B9" s="1">
        <f t="shared" si="5"/>
        <v>7</v>
      </c>
      <c r="C9" s="1">
        <f t="shared" si="1"/>
        <v>31</v>
      </c>
      <c r="D9" s="3">
        <f t="shared" si="6"/>
        <v>137537.7989</v>
      </c>
      <c r="E9" s="4">
        <f t="shared" si="2"/>
        <v>6876.889944</v>
      </c>
      <c r="F9" s="4">
        <f t="shared" si="7"/>
        <v>1194.052297</v>
      </c>
      <c r="G9" s="1">
        <f t="shared" si="3"/>
        <v>14328.62756</v>
      </c>
      <c r="H9" s="4">
        <f t="shared" si="8"/>
        <v>5970.261483</v>
      </c>
      <c r="I9" s="3">
        <f t="shared" si="4"/>
        <v>164713.5779</v>
      </c>
    </row>
    <row r="10">
      <c r="B10" s="1">
        <f t="shared" si="5"/>
        <v>8</v>
      </c>
      <c r="C10" s="1">
        <f t="shared" si="1"/>
        <v>32</v>
      </c>
      <c r="D10" s="3">
        <f t="shared" si="6"/>
        <v>164713.5779</v>
      </c>
      <c r="E10" s="4">
        <f t="shared" si="2"/>
        <v>8235.678894</v>
      </c>
      <c r="F10" s="4">
        <f t="shared" si="7"/>
        <v>1229.873865</v>
      </c>
      <c r="G10" s="1">
        <f t="shared" si="3"/>
        <v>14758.48639</v>
      </c>
      <c r="H10" s="4">
        <f t="shared" si="8"/>
        <v>6149.369327</v>
      </c>
      <c r="I10" s="3">
        <f t="shared" si="4"/>
        <v>193857.1125</v>
      </c>
    </row>
    <row r="11">
      <c r="B11" s="1">
        <f t="shared" si="5"/>
        <v>9</v>
      </c>
      <c r="C11" s="1">
        <f t="shared" si="1"/>
        <v>33</v>
      </c>
      <c r="D11" s="3">
        <f t="shared" si="6"/>
        <v>193857.1125</v>
      </c>
      <c r="E11" s="4">
        <f t="shared" si="2"/>
        <v>9692.855624</v>
      </c>
      <c r="F11" s="4">
        <f t="shared" si="7"/>
        <v>1266.770081</v>
      </c>
      <c r="G11" s="1">
        <f t="shared" si="3"/>
        <v>15201.24098</v>
      </c>
      <c r="H11" s="4">
        <f t="shared" si="8"/>
        <v>6333.850407</v>
      </c>
      <c r="I11" s="3">
        <f t="shared" si="4"/>
        <v>225085.0595</v>
      </c>
    </row>
    <row r="12">
      <c r="B12" s="1">
        <f t="shared" si="5"/>
        <v>10</v>
      </c>
      <c r="C12" s="1">
        <f t="shared" si="1"/>
        <v>34</v>
      </c>
      <c r="D12" s="3">
        <f t="shared" si="6"/>
        <v>225085.0595</v>
      </c>
      <c r="E12" s="4">
        <f t="shared" si="2"/>
        <v>11254.25297</v>
      </c>
      <c r="F12" s="4">
        <f t="shared" si="7"/>
        <v>1304.773184</v>
      </c>
      <c r="G12" s="1">
        <f t="shared" si="3"/>
        <v>15657.27821</v>
      </c>
      <c r="H12" s="4">
        <f t="shared" si="8"/>
        <v>6523.865919</v>
      </c>
      <c r="I12" s="3">
        <f t="shared" si="4"/>
        <v>258520.4566</v>
      </c>
    </row>
    <row r="13">
      <c r="B13" s="1">
        <f t="shared" si="5"/>
        <v>11</v>
      </c>
      <c r="C13" s="1">
        <f t="shared" si="1"/>
        <v>35</v>
      </c>
      <c r="D13" s="3">
        <f t="shared" si="6"/>
        <v>258520.4566</v>
      </c>
      <c r="E13" s="4">
        <f t="shared" si="2"/>
        <v>12926.02283</v>
      </c>
      <c r="F13" s="4">
        <f t="shared" si="7"/>
        <v>1343.916379</v>
      </c>
      <c r="G13" s="1">
        <f t="shared" si="3"/>
        <v>16126.99655</v>
      </c>
      <c r="H13" s="4">
        <f t="shared" si="8"/>
        <v>6719.581897</v>
      </c>
      <c r="I13" s="3">
        <f t="shared" si="4"/>
        <v>294293.0579</v>
      </c>
    </row>
    <row r="14">
      <c r="B14" s="1">
        <f t="shared" si="5"/>
        <v>12</v>
      </c>
      <c r="C14" s="1">
        <f t="shared" si="1"/>
        <v>36</v>
      </c>
      <c r="D14" s="3">
        <f t="shared" si="6"/>
        <v>294293.0579</v>
      </c>
      <c r="E14" s="4">
        <f t="shared" si="2"/>
        <v>14714.65289</v>
      </c>
      <c r="F14" s="4">
        <f t="shared" si="7"/>
        <v>1384.233871</v>
      </c>
      <c r="G14" s="1">
        <f t="shared" si="3"/>
        <v>16610.80645</v>
      </c>
      <c r="H14" s="4">
        <f t="shared" si="8"/>
        <v>6921.169354</v>
      </c>
      <c r="I14" s="3">
        <f t="shared" si="4"/>
        <v>332539.6866</v>
      </c>
    </row>
    <row r="15">
      <c r="B15" s="1">
        <f t="shared" si="5"/>
        <v>13</v>
      </c>
      <c r="C15" s="1">
        <f t="shared" si="1"/>
        <v>37</v>
      </c>
      <c r="D15" s="3">
        <f t="shared" si="6"/>
        <v>332539.6866</v>
      </c>
      <c r="E15" s="4">
        <f t="shared" si="2"/>
        <v>16626.98433</v>
      </c>
      <c r="F15" s="4">
        <f t="shared" si="7"/>
        <v>1425.760887</v>
      </c>
      <c r="G15" s="1">
        <f t="shared" si="3"/>
        <v>17109.13064</v>
      </c>
      <c r="H15" s="4">
        <f t="shared" si="8"/>
        <v>7128.804434</v>
      </c>
      <c r="I15" s="3">
        <f t="shared" si="4"/>
        <v>373404.606</v>
      </c>
    </row>
    <row r="16">
      <c r="B16" s="1">
        <f t="shared" si="5"/>
        <v>14</v>
      </c>
      <c r="C16" s="1">
        <f t="shared" si="1"/>
        <v>38</v>
      </c>
      <c r="D16" s="3">
        <f t="shared" si="6"/>
        <v>373404.606</v>
      </c>
      <c r="E16" s="4">
        <f t="shared" si="2"/>
        <v>18670.2303</v>
      </c>
      <c r="F16" s="4">
        <f t="shared" si="7"/>
        <v>1468.533713</v>
      </c>
      <c r="G16" s="1">
        <f t="shared" si="3"/>
        <v>17622.40456</v>
      </c>
      <c r="H16" s="4">
        <f t="shared" si="8"/>
        <v>7342.668567</v>
      </c>
      <c r="I16" s="3">
        <f t="shared" si="4"/>
        <v>417039.9094</v>
      </c>
    </row>
    <row r="17">
      <c r="B17" s="1">
        <f t="shared" si="5"/>
        <v>15</v>
      </c>
      <c r="C17" s="1">
        <f t="shared" si="1"/>
        <v>39</v>
      </c>
      <c r="D17" s="3">
        <f t="shared" si="6"/>
        <v>417039.9094</v>
      </c>
      <c r="E17" s="4">
        <f t="shared" si="2"/>
        <v>20851.99547</v>
      </c>
      <c r="F17" s="4">
        <f t="shared" si="7"/>
        <v>1512.589725</v>
      </c>
      <c r="G17" s="1">
        <f t="shared" si="3"/>
        <v>18151.0767</v>
      </c>
      <c r="H17" s="4">
        <f t="shared" si="8"/>
        <v>7562.948624</v>
      </c>
      <c r="I17" s="3">
        <f t="shared" si="4"/>
        <v>463605.9302</v>
      </c>
    </row>
    <row r="18">
      <c r="B18" s="1">
        <f t="shared" si="5"/>
        <v>16</v>
      </c>
      <c r="C18" s="1">
        <f t="shared" si="1"/>
        <v>40</v>
      </c>
      <c r="D18" s="3">
        <f t="shared" si="6"/>
        <v>463605.9302</v>
      </c>
      <c r="E18" s="4">
        <f t="shared" si="2"/>
        <v>23180.29651</v>
      </c>
      <c r="F18" s="4">
        <f t="shared" si="7"/>
        <v>1557.967417</v>
      </c>
      <c r="G18" s="1">
        <f t="shared" si="3"/>
        <v>18695.609</v>
      </c>
      <c r="H18" s="4">
        <f t="shared" si="8"/>
        <v>7789.837083</v>
      </c>
      <c r="I18" s="3">
        <f t="shared" si="4"/>
        <v>513271.6728</v>
      </c>
    </row>
    <row r="19">
      <c r="B19" s="1">
        <f t="shared" si="5"/>
        <v>17</v>
      </c>
      <c r="C19" s="1">
        <f t="shared" si="1"/>
        <v>41</v>
      </c>
      <c r="D19" s="3">
        <f t="shared" si="6"/>
        <v>513271.6728</v>
      </c>
      <c r="E19" s="4">
        <f t="shared" si="2"/>
        <v>25663.58364</v>
      </c>
      <c r="F19" s="4">
        <f t="shared" si="7"/>
        <v>1604.706439</v>
      </c>
      <c r="G19" s="1">
        <f t="shared" si="3"/>
        <v>19256.47727</v>
      </c>
      <c r="H19" s="4">
        <f t="shared" si="8"/>
        <v>8023.532195</v>
      </c>
      <c r="I19" s="3">
        <f t="shared" si="4"/>
        <v>566215.2659</v>
      </c>
    </row>
    <row r="20">
      <c r="B20" s="1">
        <f t="shared" si="5"/>
        <v>18</v>
      </c>
      <c r="C20" s="1">
        <f t="shared" si="1"/>
        <v>42</v>
      </c>
      <c r="D20" s="3">
        <f t="shared" si="6"/>
        <v>566215.2659</v>
      </c>
      <c r="E20" s="4">
        <f t="shared" si="2"/>
        <v>28310.76329</v>
      </c>
      <c r="F20" s="4">
        <f t="shared" si="7"/>
        <v>1652.847632</v>
      </c>
      <c r="G20" s="1">
        <f t="shared" si="3"/>
        <v>19834.17159</v>
      </c>
      <c r="H20" s="4">
        <f t="shared" si="8"/>
        <v>8264.238161</v>
      </c>
      <c r="I20" s="3">
        <f t="shared" si="4"/>
        <v>622624.4389</v>
      </c>
    </row>
    <row r="21" ht="15.75" customHeight="1">
      <c r="B21" s="1">
        <f t="shared" si="5"/>
        <v>19</v>
      </c>
      <c r="C21" s="1">
        <f t="shared" si="1"/>
        <v>43</v>
      </c>
      <c r="D21" s="3">
        <f t="shared" si="6"/>
        <v>622624.4389</v>
      </c>
      <c r="E21" s="4">
        <f t="shared" si="2"/>
        <v>31131.22195</v>
      </c>
      <c r="F21" s="4">
        <f t="shared" si="7"/>
        <v>1702.433061</v>
      </c>
      <c r="G21" s="1">
        <f t="shared" si="3"/>
        <v>20429.19673</v>
      </c>
      <c r="H21" s="4">
        <f t="shared" si="8"/>
        <v>8512.165306</v>
      </c>
      <c r="I21" s="3">
        <f t="shared" si="4"/>
        <v>682697.0229</v>
      </c>
    </row>
    <row r="22" ht="15.75" customHeight="1">
      <c r="B22" s="1">
        <f t="shared" si="5"/>
        <v>20</v>
      </c>
      <c r="C22" s="1">
        <f t="shared" si="1"/>
        <v>44</v>
      </c>
      <c r="D22" s="3">
        <f t="shared" si="6"/>
        <v>682697.0229</v>
      </c>
      <c r="E22" s="4">
        <f t="shared" si="2"/>
        <v>34134.85115</v>
      </c>
      <c r="F22" s="4">
        <f t="shared" si="7"/>
        <v>1753.506053</v>
      </c>
      <c r="G22" s="1">
        <f t="shared" si="3"/>
        <v>21042.07264</v>
      </c>
      <c r="H22" s="4">
        <f t="shared" si="8"/>
        <v>8767.530265</v>
      </c>
      <c r="I22" s="3">
        <f t="shared" si="4"/>
        <v>746641.477</v>
      </c>
    </row>
    <row r="23" ht="15.75" customHeight="1">
      <c r="B23" s="1">
        <f t="shared" si="5"/>
        <v>21</v>
      </c>
      <c r="C23" s="1">
        <f t="shared" si="1"/>
        <v>45</v>
      </c>
      <c r="D23" s="3">
        <f t="shared" si="6"/>
        <v>746641.477</v>
      </c>
      <c r="E23" s="4">
        <f t="shared" si="2"/>
        <v>37332.07385</v>
      </c>
      <c r="F23" s="4">
        <f t="shared" si="7"/>
        <v>1806.111235</v>
      </c>
      <c r="G23" s="1">
        <f t="shared" si="3"/>
        <v>21673.33482</v>
      </c>
      <c r="H23" s="4">
        <f t="shared" si="8"/>
        <v>9030.556173</v>
      </c>
      <c r="I23" s="3">
        <f t="shared" si="4"/>
        <v>814677.4418</v>
      </c>
    </row>
    <row r="24" ht="15.75" customHeight="1">
      <c r="B24" s="1">
        <f t="shared" si="5"/>
        <v>22</v>
      </c>
      <c r="C24" s="1">
        <f t="shared" si="1"/>
        <v>46</v>
      </c>
      <c r="D24" s="3">
        <f t="shared" si="6"/>
        <v>814677.4418</v>
      </c>
      <c r="E24" s="4">
        <f t="shared" si="2"/>
        <v>40733.87209</v>
      </c>
      <c r="F24" s="4">
        <f t="shared" si="7"/>
        <v>1860.294572</v>
      </c>
      <c r="G24" s="1">
        <f t="shared" si="3"/>
        <v>22323.53486</v>
      </c>
      <c r="H24" s="4">
        <f t="shared" si="8"/>
        <v>9301.472859</v>
      </c>
      <c r="I24" s="3">
        <f t="shared" si="4"/>
        <v>887036.3216</v>
      </c>
    </row>
    <row r="25" ht="15.75" customHeight="1">
      <c r="B25" s="1">
        <f t="shared" si="5"/>
        <v>23</v>
      </c>
      <c r="C25" s="1">
        <f t="shared" si="1"/>
        <v>47</v>
      </c>
      <c r="D25" s="3">
        <f t="shared" si="6"/>
        <v>887036.3216</v>
      </c>
      <c r="E25" s="4">
        <f t="shared" si="2"/>
        <v>44351.81608</v>
      </c>
      <c r="F25" s="4">
        <f t="shared" si="7"/>
        <v>1916.103409</v>
      </c>
      <c r="G25" s="1">
        <f t="shared" si="3"/>
        <v>22993.24091</v>
      </c>
      <c r="H25" s="4">
        <f t="shared" si="8"/>
        <v>9580.517044</v>
      </c>
      <c r="I25" s="3">
        <f t="shared" si="4"/>
        <v>963961.8956</v>
      </c>
    </row>
    <row r="26" ht="15.75" customHeight="1">
      <c r="B26" s="1">
        <f t="shared" si="5"/>
        <v>24</v>
      </c>
      <c r="C26" s="1">
        <f t="shared" si="1"/>
        <v>48</v>
      </c>
      <c r="D26" s="3">
        <f t="shared" si="6"/>
        <v>963961.8956</v>
      </c>
      <c r="E26" s="4">
        <f t="shared" si="2"/>
        <v>48198.09478</v>
      </c>
      <c r="F26" s="4">
        <f t="shared" si="7"/>
        <v>1973.586511</v>
      </c>
      <c r="G26" s="1">
        <f t="shared" si="3"/>
        <v>23683.03813</v>
      </c>
      <c r="H26" s="4">
        <f t="shared" si="8"/>
        <v>9867.932556</v>
      </c>
      <c r="I26" s="3">
        <f t="shared" si="4"/>
        <v>1045710.961</v>
      </c>
    </row>
    <row r="27" ht="15.75" customHeight="1">
      <c r="B27" s="1">
        <f t="shared" si="5"/>
        <v>25</v>
      </c>
      <c r="C27" s="1">
        <f t="shared" si="1"/>
        <v>49</v>
      </c>
      <c r="D27" s="3">
        <f t="shared" si="6"/>
        <v>1045710.961</v>
      </c>
      <c r="E27" s="4">
        <f t="shared" si="2"/>
        <v>52285.54806</v>
      </c>
      <c r="F27" s="4">
        <f t="shared" si="7"/>
        <v>2032.794106</v>
      </c>
      <c r="G27" s="1">
        <f t="shared" si="3"/>
        <v>24393.52928</v>
      </c>
      <c r="H27" s="4">
        <f t="shared" si="8"/>
        <v>10163.97053</v>
      </c>
      <c r="I27" s="3">
        <f t="shared" si="4"/>
        <v>1132554.009</v>
      </c>
    </row>
    <row r="28" ht="15.75" customHeight="1">
      <c r="B28" s="1">
        <f t="shared" si="5"/>
        <v>26</v>
      </c>
      <c r="C28" s="1">
        <f t="shared" si="1"/>
        <v>50</v>
      </c>
      <c r="D28" s="3">
        <f t="shared" si="6"/>
        <v>1132554.009</v>
      </c>
      <c r="E28" s="4">
        <f t="shared" si="2"/>
        <v>56627.70045</v>
      </c>
      <c r="F28" s="4">
        <f t="shared" si="7"/>
        <v>2093.77793</v>
      </c>
      <c r="G28" s="1">
        <f t="shared" si="3"/>
        <v>25125.33516</v>
      </c>
      <c r="H28" s="4">
        <f t="shared" si="8"/>
        <v>10468.88965</v>
      </c>
      <c r="I28" s="3">
        <f t="shared" si="4"/>
        <v>1224775.934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11.57"/>
    <col customWidth="1" min="5" max="5" width="8.71"/>
    <col customWidth="1" min="6" max="6" width="11.29"/>
    <col customWidth="1" min="7" max="7" width="6.57"/>
    <col customWidth="1" min="8" max="8" width="10.0"/>
    <col customWidth="1" min="9" max="10" width="8.71"/>
    <col customWidth="1" min="11" max="11" width="9.0"/>
    <col customWidth="1" min="12" max="12" width="8.71"/>
    <col customWidth="1" min="13" max="14" width="12.14"/>
    <col customWidth="1" min="15" max="15" width="6.0"/>
    <col customWidth="1" min="16" max="17" width="10.14"/>
    <col customWidth="1" min="18" max="18" width="6.0"/>
    <col customWidth="1" min="19" max="19" width="10.14"/>
    <col customWidth="1" min="20" max="20" width="8.71"/>
    <col customWidth="1" min="21" max="22" width="10.86"/>
    <col customWidth="1" min="23" max="23" width="10.43"/>
    <col customWidth="1" min="24" max="32" width="10.57"/>
    <col customWidth="1" min="33" max="33" width="8.71"/>
    <col customWidth="1" min="34" max="35" width="11.71"/>
    <col customWidth="1" min="36" max="38" width="9.43"/>
    <col customWidth="1" min="39" max="39" width="8.71"/>
    <col customWidth="1" min="40" max="40" width="10.86"/>
    <col customWidth="1" min="41" max="44" width="8.71"/>
    <col customWidth="1" min="45" max="51" width="10.43"/>
    <col customWidth="1" min="52" max="52" width="13.86"/>
    <col customWidth="1" min="53" max="53" width="11.0"/>
    <col customWidth="1" min="54" max="60" width="8.71"/>
    <col customWidth="1" min="61" max="61" width="10.57"/>
    <col customWidth="1" min="62" max="64" width="8.71"/>
    <col customWidth="1" min="65" max="65" width="11.57"/>
    <col customWidth="1" min="66" max="69" width="10.57"/>
    <col customWidth="1" min="70" max="77" width="8.71"/>
  </cols>
  <sheetData>
    <row r="1">
      <c r="L1" s="1" t="s">
        <v>8</v>
      </c>
      <c r="M1" s="1" t="s">
        <v>9</v>
      </c>
    </row>
    <row r="2">
      <c r="K2" s="1" t="s">
        <v>10</v>
      </c>
      <c r="L2" s="3">
        <v>150000.0</v>
      </c>
      <c r="M2" s="3">
        <v>450000.0</v>
      </c>
      <c r="N2" s="3">
        <f t="shared" ref="N2:N3" si="1">SUM(L2:M2)</f>
        <v>600000</v>
      </c>
      <c r="O2" s="2">
        <f t="shared" ref="O2:O3" si="2">N2/N$5</f>
        <v>0.4</v>
      </c>
    </row>
    <row r="3">
      <c r="K3" s="1" t="s">
        <v>11</v>
      </c>
      <c r="L3" s="3">
        <v>600000.0</v>
      </c>
      <c r="M3" s="3">
        <v>300000.0</v>
      </c>
      <c r="N3" s="3">
        <f t="shared" si="1"/>
        <v>900000</v>
      </c>
      <c r="O3" s="2">
        <f t="shared" si="2"/>
        <v>0.6</v>
      </c>
    </row>
    <row r="4">
      <c r="K4" s="1" t="s">
        <v>12</v>
      </c>
      <c r="L4" s="2">
        <f>L3/N3</f>
        <v>0.6666666667</v>
      </c>
      <c r="M4" s="2">
        <f>M3/N3</f>
        <v>0.3333333333</v>
      </c>
    </row>
    <row r="5">
      <c r="L5" s="3">
        <f t="shared" ref="L5:N5" si="3">SUM(L2:L3)</f>
        <v>750000</v>
      </c>
      <c r="M5" s="3">
        <f t="shared" si="3"/>
        <v>750000</v>
      </c>
      <c r="N5" s="3">
        <f t="shared" si="3"/>
        <v>1500000</v>
      </c>
    </row>
    <row r="6">
      <c r="C6" s="1" t="s">
        <v>13</v>
      </c>
      <c r="D6" s="3">
        <v>1500000.0</v>
      </c>
      <c r="L6" s="2">
        <f t="shared" ref="L6:M6" si="4">L5/$N5</f>
        <v>0.5</v>
      </c>
      <c r="M6" s="2">
        <f t="shared" si="4"/>
        <v>0.5</v>
      </c>
    </row>
    <row r="8">
      <c r="D8" s="5" t="s">
        <v>14</v>
      </c>
      <c r="E8" s="5"/>
      <c r="F8" s="5"/>
      <c r="G8" s="5"/>
      <c r="I8" s="6" t="s">
        <v>15</v>
      </c>
      <c r="J8" s="6"/>
      <c r="K8" s="6"/>
      <c r="L8" s="6"/>
      <c r="M8" s="6"/>
      <c r="N8" s="6"/>
      <c r="O8" s="6"/>
      <c r="Q8" s="7" t="s">
        <v>16</v>
      </c>
      <c r="R8" s="7"/>
      <c r="S8" s="7"/>
      <c r="U8" s="7" t="s">
        <v>17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H8" s="8" t="s">
        <v>18</v>
      </c>
      <c r="AI8" s="8"/>
      <c r="AJ8" s="8"/>
      <c r="AK8" s="8"/>
      <c r="AL8" s="8"/>
      <c r="AN8" s="9" t="s">
        <v>19</v>
      </c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BB8" s="10" t="s">
        <v>20</v>
      </c>
      <c r="BC8" s="10"/>
      <c r="BD8" s="10"/>
      <c r="BE8" s="10"/>
      <c r="BF8" s="10"/>
      <c r="BG8" s="10"/>
      <c r="BH8" s="10"/>
      <c r="BI8" s="10"/>
      <c r="BJ8" s="10"/>
      <c r="BL8" s="1" t="s">
        <v>17</v>
      </c>
    </row>
    <row r="9">
      <c r="I9" s="1" t="s">
        <v>21</v>
      </c>
      <c r="J9" s="1" t="s">
        <v>22</v>
      </c>
      <c r="BL9" s="1" t="s">
        <v>9</v>
      </c>
      <c r="BS9" s="1" t="s">
        <v>23</v>
      </c>
      <c r="BX9" s="1" t="s">
        <v>16</v>
      </c>
    </row>
    <row r="10">
      <c r="C10" s="11">
        <v>2000.0</v>
      </c>
      <c r="D10" s="2">
        <v>0.02</v>
      </c>
      <c r="I10" s="2">
        <v>0.01</v>
      </c>
      <c r="J10" s="2"/>
      <c r="L10" s="2">
        <v>0.02</v>
      </c>
      <c r="U10" s="1" t="s">
        <v>16</v>
      </c>
      <c r="Y10" s="1" t="s">
        <v>8</v>
      </c>
      <c r="AC10" s="1" t="s">
        <v>9</v>
      </c>
      <c r="AJ10" s="12">
        <v>0.025</v>
      </c>
      <c r="AK10" s="2"/>
      <c r="AL10" s="2"/>
      <c r="AN10" s="1" t="s">
        <v>16</v>
      </c>
      <c r="AT10" s="1" t="s">
        <v>8</v>
      </c>
      <c r="AW10" s="1" t="s">
        <v>9</v>
      </c>
      <c r="BI10" s="2">
        <v>0.03</v>
      </c>
      <c r="BL10" s="3">
        <f>M2</f>
        <v>450000</v>
      </c>
      <c r="BS10" s="3">
        <f>L2</f>
        <v>150000</v>
      </c>
    </row>
    <row r="11">
      <c r="B11" s="1" t="s">
        <v>24</v>
      </c>
      <c r="C11" s="1" t="s">
        <v>1</v>
      </c>
      <c r="D11" s="1" t="s">
        <v>25</v>
      </c>
      <c r="F11" s="1" t="s">
        <v>26</v>
      </c>
      <c r="G11" s="1" t="s">
        <v>27</v>
      </c>
      <c r="I11" s="1" t="s">
        <v>28</v>
      </c>
      <c r="J11" s="1" t="s">
        <v>29</v>
      </c>
      <c r="K11" s="1" t="s">
        <v>30</v>
      </c>
      <c r="L11" s="2" t="s">
        <v>31</v>
      </c>
      <c r="M11" s="1" t="s">
        <v>32</v>
      </c>
      <c r="N11" s="1" t="s">
        <v>33</v>
      </c>
      <c r="O11" s="1" t="s">
        <v>27</v>
      </c>
      <c r="Q11" s="1" t="s">
        <v>34</v>
      </c>
      <c r="R11" s="1" t="s">
        <v>27</v>
      </c>
      <c r="S11" s="1" t="s">
        <v>35</v>
      </c>
      <c r="U11" s="1" t="s">
        <v>34</v>
      </c>
      <c r="V11" s="2" t="s">
        <v>36</v>
      </c>
      <c r="W11" s="2" t="s">
        <v>37</v>
      </c>
      <c r="X11" s="1" t="s">
        <v>35</v>
      </c>
      <c r="Y11" s="1" t="s">
        <v>34</v>
      </c>
      <c r="Z11" s="2" t="s">
        <v>36</v>
      </c>
      <c r="AA11" s="2" t="s">
        <v>37</v>
      </c>
      <c r="AB11" s="1" t="s">
        <v>35</v>
      </c>
      <c r="AC11" s="1" t="s">
        <v>34</v>
      </c>
      <c r="AD11" s="2" t="s">
        <v>36</v>
      </c>
      <c r="AE11" s="2" t="s">
        <v>37</v>
      </c>
      <c r="AF11" s="1" t="s">
        <v>35</v>
      </c>
      <c r="AH11" s="1" t="s">
        <v>38</v>
      </c>
      <c r="AI11" s="1" t="s">
        <v>39</v>
      </c>
      <c r="AJ11" s="2" t="s">
        <v>29</v>
      </c>
      <c r="AK11" s="2" t="s">
        <v>40</v>
      </c>
      <c r="AL11" s="2" t="s">
        <v>41</v>
      </c>
      <c r="AN11" s="2" t="s">
        <v>42</v>
      </c>
      <c r="AO11" s="2" t="s">
        <v>29</v>
      </c>
      <c r="AP11" s="2" t="s">
        <v>43</v>
      </c>
      <c r="AQ11" s="2" t="s">
        <v>40</v>
      </c>
      <c r="AR11" s="2" t="s">
        <v>44</v>
      </c>
      <c r="AS11" s="2" t="s">
        <v>36</v>
      </c>
      <c r="AT11" s="2" t="s">
        <v>42</v>
      </c>
      <c r="AU11" s="2" t="s">
        <v>44</v>
      </c>
      <c r="AV11" s="2" t="s">
        <v>36</v>
      </c>
      <c r="AW11" s="2" t="s">
        <v>42</v>
      </c>
      <c r="AX11" s="2" t="s">
        <v>44</v>
      </c>
      <c r="AY11" s="2" t="s">
        <v>36</v>
      </c>
      <c r="AZ11" s="2" t="s">
        <v>45</v>
      </c>
      <c r="BB11" s="1" t="s">
        <v>28</v>
      </c>
      <c r="BC11" s="1" t="s">
        <v>39</v>
      </c>
      <c r="BD11" s="1" t="s">
        <v>30</v>
      </c>
      <c r="BE11" s="2" t="s">
        <v>31</v>
      </c>
      <c r="BF11" s="1" t="s">
        <v>46</v>
      </c>
      <c r="BG11" s="1" t="s">
        <v>47</v>
      </c>
      <c r="BH11" s="1" t="s">
        <v>48</v>
      </c>
      <c r="BI11" s="1" t="s">
        <v>49</v>
      </c>
      <c r="BJ11" s="1" t="s">
        <v>50</v>
      </c>
      <c r="BL11" s="2" t="s">
        <v>42</v>
      </c>
      <c r="BM11" s="1" t="s">
        <v>47</v>
      </c>
      <c r="BN11" s="1" t="s">
        <v>51</v>
      </c>
      <c r="BO11" s="1" t="s">
        <v>36</v>
      </c>
      <c r="BS11" s="2" t="s">
        <v>42</v>
      </c>
      <c r="BT11" s="1" t="s">
        <v>48</v>
      </c>
      <c r="BU11" s="1" t="s">
        <v>51</v>
      </c>
      <c r="BV11" s="1" t="s">
        <v>36</v>
      </c>
      <c r="BX11" s="2" t="s">
        <v>42</v>
      </c>
      <c r="BY11" s="1" t="s">
        <v>36</v>
      </c>
    </row>
    <row r="12">
      <c r="B12" s="1">
        <v>1.0</v>
      </c>
      <c r="C12" s="1">
        <f t="shared" ref="C12:C41" si="6">2026-C$10+B12-1</f>
        <v>26</v>
      </c>
      <c r="D12" s="3">
        <f>D6</f>
        <v>1500000</v>
      </c>
      <c r="E12" s="2">
        <f t="shared" ref="E12:E41" si="7">D12/D$6</f>
        <v>1</v>
      </c>
      <c r="F12" s="3">
        <f t="shared" ref="F12:F41" si="8">D12-D$6</f>
        <v>0</v>
      </c>
      <c r="G12" s="2">
        <f t="shared" ref="G12:G41" si="9">F12/D$6</f>
        <v>0</v>
      </c>
      <c r="I12" s="3">
        <v>4000.0</v>
      </c>
      <c r="J12" s="3">
        <f t="shared" ref="J12:J41" si="10">AJ12</f>
        <v>1875</v>
      </c>
      <c r="K12" s="4">
        <f t="shared" ref="K12:K41" si="11">I12*0.5/12</f>
        <v>166.6666667</v>
      </c>
      <c r="L12" s="1">
        <f>400</f>
        <v>400</v>
      </c>
      <c r="M12" s="3">
        <f t="shared" ref="M12:M41" si="12">I12-K12-AJ12-L12</f>
        <v>1558.333333</v>
      </c>
      <c r="N12" s="3">
        <f t="shared" ref="N12:N41" si="13">M12*12</f>
        <v>18700</v>
      </c>
      <c r="O12" s="2">
        <f t="shared" ref="O12:O41" si="14">N12/D$6</f>
        <v>0.01246666667</v>
      </c>
      <c r="P12" s="3"/>
      <c r="Q12" s="3">
        <f t="shared" ref="Q12:Q41" si="15">N12+F12</f>
        <v>18700</v>
      </c>
      <c r="R12" s="2">
        <f t="shared" ref="R12:R41" si="16">Q12/D$6</f>
        <v>0.01246666667</v>
      </c>
      <c r="S12" s="12">
        <f t="shared" ref="S12:S41" si="17">R12/$B12</f>
        <v>0.01246666667</v>
      </c>
      <c r="U12" s="3">
        <f t="shared" ref="U12:U41" si="18">Q12</f>
        <v>18700</v>
      </c>
      <c r="V12" s="3">
        <f t="shared" ref="V12:V41" si="19">AS12</f>
        <v>620173.0571</v>
      </c>
      <c r="W12" s="2">
        <f t="shared" ref="W12:W41" si="20">U12/V12</f>
        <v>0.03015287392</v>
      </c>
      <c r="X12" s="12">
        <f t="shared" ref="X12:X41" si="21">W12/$B12</f>
        <v>0.03015287392</v>
      </c>
      <c r="Y12" s="13">
        <f t="shared" ref="Y12:Y41" si="22">$U12*$L$6</f>
        <v>9350</v>
      </c>
      <c r="Z12" s="13">
        <f t="shared" ref="Z12:Z41" si="23">AV12</f>
        <v>163448.7047</v>
      </c>
      <c r="AA12" s="12">
        <f t="shared" ref="AA12:AA41" si="24">Y12/Z12</f>
        <v>0.05720449126</v>
      </c>
      <c r="AB12" s="12">
        <f t="shared" ref="AB12:AB41" si="25">AA12/$B12</f>
        <v>0.05720449126</v>
      </c>
      <c r="AC12" s="13">
        <f t="shared" ref="AC12:AC41" si="26">U12-Y12</f>
        <v>9350</v>
      </c>
      <c r="AD12" s="13">
        <f t="shared" ref="AD12:AD41" si="27">AY12</f>
        <v>456724.3524</v>
      </c>
      <c r="AE12" s="12">
        <f t="shared" ref="AE12:AE41" si="28">AC12/AD12</f>
        <v>0.02047186657</v>
      </c>
      <c r="AF12" s="12">
        <f t="shared" ref="AF12:AF41" si="29">AE12/$B12</f>
        <v>0.02047186657</v>
      </c>
      <c r="AH12" s="3">
        <v>900000.0</v>
      </c>
      <c r="AI12" s="4">
        <f>PMT(AJ$10/12,30*12,-900000)</f>
        <v>3556.088089</v>
      </c>
      <c r="AJ12" s="3">
        <f t="shared" ref="AJ12:AJ41" si="30">AJ$10*AH12/12</f>
        <v>1875</v>
      </c>
      <c r="AK12" s="3">
        <f t="shared" ref="AK12:AK41" si="31">AI12-AJ12</f>
        <v>1681.088089</v>
      </c>
      <c r="AL12" s="3">
        <f t="shared" ref="AL12:AL41" si="32">AH12-12*AK12</f>
        <v>879826.9429</v>
      </c>
      <c r="AN12" s="3">
        <f>N2</f>
        <v>600000</v>
      </c>
      <c r="AO12" s="3">
        <f t="shared" ref="AO12:AO41" si="33">AJ12</f>
        <v>1875</v>
      </c>
      <c r="AP12" s="3">
        <f t="shared" ref="AP12:AP41" si="34">AO12*12</f>
        <v>22500</v>
      </c>
      <c r="AQ12" s="3">
        <f t="shared" ref="AQ12:AQ41" si="35">AK12</f>
        <v>1681.088089</v>
      </c>
      <c r="AR12" s="3">
        <f t="shared" ref="AR12:AR41" si="36">AQ12*12</f>
        <v>20173.05707</v>
      </c>
      <c r="AS12" s="3">
        <f t="shared" ref="AS12:AS41" si="37">AR12+AN12</f>
        <v>620173.0571</v>
      </c>
      <c r="AT12" s="3">
        <f>L2</f>
        <v>150000</v>
      </c>
      <c r="AU12" s="3">
        <f t="shared" ref="AU12:AU41" si="38">AR12*$L$4</f>
        <v>13448.70471</v>
      </c>
      <c r="AV12" s="3">
        <f t="shared" ref="AV12:AV41" si="39">AT12+AU12</f>
        <v>163448.7047</v>
      </c>
      <c r="AW12" s="3">
        <f>M2</f>
        <v>450000</v>
      </c>
      <c r="AX12" s="3">
        <f t="shared" ref="AX12:AX41" si="40">AR12*$M$4</f>
        <v>6724.352357</v>
      </c>
      <c r="AY12" s="3">
        <f t="shared" ref="AY12:AY41" si="41">AW12+AX12</f>
        <v>456724.3524</v>
      </c>
      <c r="AZ12" s="3">
        <f t="shared" ref="AZ12:AZ41" si="42">AY12+AV12</f>
        <v>620173.0571</v>
      </c>
      <c r="BA12" s="3"/>
      <c r="BB12" s="4">
        <f t="shared" ref="BB12:BB41" si="43">I12</f>
        <v>4000</v>
      </c>
      <c r="BC12" s="4">
        <f t="shared" ref="BC12:BC41" si="44">AI12</f>
        <v>3556.088089</v>
      </c>
      <c r="BD12" s="4">
        <f t="shared" ref="BD12:BE12" si="5">K12</f>
        <v>166.6666667</v>
      </c>
      <c r="BE12" s="4">
        <f t="shared" si="5"/>
        <v>400</v>
      </c>
      <c r="BF12" s="4">
        <f t="shared" ref="BF12:BF41" si="46">BB12-BC12-BD12-BE12</f>
        <v>-122.754756</v>
      </c>
      <c r="BG12" s="4">
        <f>BC12*M4</f>
        <v>1185.362696</v>
      </c>
      <c r="BH12" s="4">
        <f>BC12-BG12</f>
        <v>2370.725393</v>
      </c>
      <c r="BI12" s="1">
        <f>MIN(1100,1564)</f>
        <v>1100</v>
      </c>
      <c r="BJ12" s="4">
        <f t="shared" ref="BJ12:BJ41" si="48">BH12-BI12</f>
        <v>1270.725393</v>
      </c>
      <c r="BL12" s="3">
        <f>BL10</f>
        <v>450000</v>
      </c>
      <c r="BM12" s="4">
        <f t="shared" ref="BM12:BM13" si="49">BG12</f>
        <v>1185.362696</v>
      </c>
      <c r="BN12" s="1">
        <f t="shared" ref="BN12:BN13" si="50">BM12*12</f>
        <v>14224.35236</v>
      </c>
      <c r="BO12" s="3">
        <f t="shared" ref="BO12:BO13" si="51">BL12+BN12</f>
        <v>464224.3524</v>
      </c>
      <c r="BS12" s="3">
        <f>BS10</f>
        <v>150000</v>
      </c>
      <c r="BT12" s="4">
        <f t="shared" ref="BT12:BT13" si="52">BH12</f>
        <v>2370.725393</v>
      </c>
      <c r="BU12" s="1">
        <f t="shared" ref="BU12:BU13" si="53">BT12*12</f>
        <v>28448.70471</v>
      </c>
      <c r="BV12" s="3">
        <f t="shared" ref="BV12:BV13" si="54">BS12+BU12</f>
        <v>178448.7047</v>
      </c>
      <c r="BX12" s="3">
        <f>BL12+BS12</f>
        <v>600000</v>
      </c>
      <c r="BY12" s="3">
        <f>BO12+BV12</f>
        <v>642673.0571</v>
      </c>
    </row>
    <row r="13">
      <c r="B13" s="1">
        <f t="shared" ref="B13:B41" si="55">B12+1</f>
        <v>2</v>
      </c>
      <c r="C13" s="1">
        <f t="shared" si="6"/>
        <v>27</v>
      </c>
      <c r="D13" s="3">
        <f t="shared" ref="D13:D41" si="56">D12*D$10+D12</f>
        <v>1530000</v>
      </c>
      <c r="E13" s="2">
        <f t="shared" si="7"/>
        <v>1.02</v>
      </c>
      <c r="F13" s="3">
        <f t="shared" si="8"/>
        <v>30000</v>
      </c>
      <c r="G13" s="2">
        <f t="shared" si="9"/>
        <v>0.02</v>
      </c>
      <c r="I13" s="3">
        <f t="shared" ref="I13:I41" si="57">I12*I$10+I12</f>
        <v>4040</v>
      </c>
      <c r="J13" s="3">
        <f t="shared" si="10"/>
        <v>1832.972798</v>
      </c>
      <c r="K13" s="4">
        <f t="shared" si="11"/>
        <v>168.3333333</v>
      </c>
      <c r="L13" s="3">
        <f t="shared" ref="L13:L41" si="58">L12*L$10+L12</f>
        <v>408</v>
      </c>
      <c r="M13" s="3">
        <f t="shared" si="12"/>
        <v>1630.693869</v>
      </c>
      <c r="N13" s="3">
        <f t="shared" si="13"/>
        <v>19568.32643</v>
      </c>
      <c r="O13" s="2">
        <f t="shared" si="14"/>
        <v>0.01304555095</v>
      </c>
      <c r="P13" s="3"/>
      <c r="Q13" s="3">
        <f t="shared" si="15"/>
        <v>49568.32643</v>
      </c>
      <c r="R13" s="2">
        <f t="shared" si="16"/>
        <v>0.03304555095</v>
      </c>
      <c r="S13" s="12">
        <f t="shared" si="17"/>
        <v>0.01652277548</v>
      </c>
      <c r="U13" s="3">
        <f t="shared" si="18"/>
        <v>49568.32643</v>
      </c>
      <c r="V13" s="3">
        <f t="shared" si="19"/>
        <v>640850.4406</v>
      </c>
      <c r="W13" s="2">
        <f t="shared" si="20"/>
        <v>0.07734772934</v>
      </c>
      <c r="X13" s="12">
        <f t="shared" si="21"/>
        <v>0.03867386467</v>
      </c>
      <c r="Y13" s="13">
        <f t="shared" si="22"/>
        <v>24784.16321</v>
      </c>
      <c r="Z13" s="13">
        <f t="shared" si="23"/>
        <v>177233.627</v>
      </c>
      <c r="AA13" s="12">
        <f t="shared" si="24"/>
        <v>0.1398389438</v>
      </c>
      <c r="AB13" s="12">
        <f t="shared" si="25"/>
        <v>0.0699194719</v>
      </c>
      <c r="AC13" s="13">
        <f t="shared" si="26"/>
        <v>24784.16321</v>
      </c>
      <c r="AD13" s="13">
        <f t="shared" si="27"/>
        <v>463616.8135</v>
      </c>
      <c r="AE13" s="12">
        <f t="shared" si="28"/>
        <v>0.05345829247</v>
      </c>
      <c r="AF13" s="12">
        <f t="shared" si="29"/>
        <v>0.02672914624</v>
      </c>
      <c r="AH13" s="3">
        <f t="shared" ref="AH13:AH41" si="59">AL12</f>
        <v>879826.9429</v>
      </c>
      <c r="AI13" s="4">
        <f t="shared" ref="AI13:AI41" si="60">AI12</f>
        <v>3556.088089</v>
      </c>
      <c r="AJ13" s="3">
        <f t="shared" si="30"/>
        <v>1832.972798</v>
      </c>
      <c r="AK13" s="3">
        <f t="shared" si="31"/>
        <v>1723.115292</v>
      </c>
      <c r="AL13" s="3">
        <f t="shared" si="32"/>
        <v>859149.5594</v>
      </c>
      <c r="AN13" s="3">
        <f t="shared" ref="AN13:AN41" si="61">AS12</f>
        <v>620173.0571</v>
      </c>
      <c r="AO13" s="3">
        <f t="shared" si="33"/>
        <v>1832.972798</v>
      </c>
      <c r="AP13" s="3">
        <f t="shared" si="34"/>
        <v>21995.67357</v>
      </c>
      <c r="AQ13" s="3">
        <f t="shared" si="35"/>
        <v>1723.115292</v>
      </c>
      <c r="AR13" s="3">
        <f t="shared" si="36"/>
        <v>20677.3835</v>
      </c>
      <c r="AS13" s="3">
        <f t="shared" si="37"/>
        <v>640850.4406</v>
      </c>
      <c r="AT13" s="3">
        <f t="shared" ref="AT13:AT41" si="62">AV12</f>
        <v>163448.7047</v>
      </c>
      <c r="AU13" s="3">
        <f t="shared" si="38"/>
        <v>13784.92233</v>
      </c>
      <c r="AV13" s="3">
        <f t="shared" si="39"/>
        <v>177233.627</v>
      </c>
      <c r="AW13" s="3">
        <f t="shared" ref="AW13:AW41" si="63">AY12</f>
        <v>456724.3524</v>
      </c>
      <c r="AX13" s="3">
        <f t="shared" si="40"/>
        <v>6892.461166</v>
      </c>
      <c r="AY13" s="3">
        <f t="shared" si="41"/>
        <v>463616.8135</v>
      </c>
      <c r="AZ13" s="3">
        <f t="shared" si="42"/>
        <v>640850.4406</v>
      </c>
      <c r="BA13" s="3"/>
      <c r="BB13" s="4">
        <f t="shared" si="43"/>
        <v>4040</v>
      </c>
      <c r="BC13" s="4">
        <f t="shared" si="44"/>
        <v>3556.088089</v>
      </c>
      <c r="BD13" s="4">
        <f t="shared" ref="BD13:BE13" si="45">K13</f>
        <v>168.3333333</v>
      </c>
      <c r="BE13" s="4">
        <f t="shared" si="45"/>
        <v>408</v>
      </c>
      <c r="BF13" s="4">
        <f t="shared" si="46"/>
        <v>-92.42142269</v>
      </c>
      <c r="BG13" s="4">
        <f t="shared" ref="BG13:BH13" si="47">BG12</f>
        <v>1185.362696</v>
      </c>
      <c r="BH13" s="4">
        <f t="shared" si="47"/>
        <v>2370.725393</v>
      </c>
      <c r="BI13" s="1">
        <f t="shared" ref="BI13:BI41" si="66">MIN(BI12*BI$10+BI12,1564)</f>
        <v>1133</v>
      </c>
      <c r="BJ13" s="4">
        <f t="shared" si="48"/>
        <v>1237.725393</v>
      </c>
      <c r="BL13" s="3">
        <f>BO12</f>
        <v>464224.3524</v>
      </c>
      <c r="BM13" s="4">
        <f t="shared" si="49"/>
        <v>1185.362696</v>
      </c>
      <c r="BN13" s="1">
        <f t="shared" si="50"/>
        <v>14224.35236</v>
      </c>
      <c r="BO13" s="3">
        <f t="shared" si="51"/>
        <v>478448.7047</v>
      </c>
      <c r="BS13" s="3">
        <f>BV12</f>
        <v>178448.7047</v>
      </c>
      <c r="BT13" s="4">
        <f t="shared" si="52"/>
        <v>2370.725393</v>
      </c>
      <c r="BU13" s="1">
        <f t="shared" si="53"/>
        <v>28448.70471</v>
      </c>
      <c r="BV13" s="3">
        <f t="shared" si="54"/>
        <v>206897.4094</v>
      </c>
    </row>
    <row r="14">
      <c r="B14" s="1">
        <f t="shared" si="55"/>
        <v>3</v>
      </c>
      <c r="C14" s="1">
        <f t="shared" si="6"/>
        <v>28</v>
      </c>
      <c r="D14" s="3">
        <f t="shared" si="56"/>
        <v>1560600</v>
      </c>
      <c r="E14" s="2">
        <f t="shared" si="7"/>
        <v>1.0404</v>
      </c>
      <c r="F14" s="3">
        <f t="shared" si="8"/>
        <v>60600</v>
      </c>
      <c r="G14" s="2">
        <f t="shared" si="9"/>
        <v>0.0404</v>
      </c>
      <c r="I14" s="3">
        <f t="shared" si="57"/>
        <v>4080.4</v>
      </c>
      <c r="J14" s="3">
        <f t="shared" si="10"/>
        <v>1789.894915</v>
      </c>
      <c r="K14" s="4">
        <f t="shared" si="11"/>
        <v>170.0166667</v>
      </c>
      <c r="L14" s="3">
        <f t="shared" si="58"/>
        <v>416.16</v>
      </c>
      <c r="M14" s="3">
        <f t="shared" si="12"/>
        <v>1704.328418</v>
      </c>
      <c r="N14" s="3">
        <f t="shared" si="13"/>
        <v>20451.94101</v>
      </c>
      <c r="O14" s="2">
        <f t="shared" si="14"/>
        <v>0.01363462734</v>
      </c>
      <c r="P14" s="3"/>
      <c r="Q14" s="3">
        <f t="shared" si="15"/>
        <v>81051.94101</v>
      </c>
      <c r="R14" s="2">
        <f t="shared" si="16"/>
        <v>0.05403462734</v>
      </c>
      <c r="S14" s="12">
        <f t="shared" si="17"/>
        <v>0.01801154245</v>
      </c>
      <c r="U14" s="3">
        <f t="shared" si="18"/>
        <v>81051.94101</v>
      </c>
      <c r="V14" s="3">
        <f t="shared" si="19"/>
        <v>662044.7587</v>
      </c>
      <c r="W14" s="2">
        <f t="shared" si="20"/>
        <v>0.1224266788</v>
      </c>
      <c r="X14" s="12">
        <f t="shared" si="21"/>
        <v>0.04080889293</v>
      </c>
      <c r="Y14" s="13">
        <f t="shared" si="22"/>
        <v>40525.97051</v>
      </c>
      <c r="Z14" s="13">
        <f t="shared" si="23"/>
        <v>191363.1724</v>
      </c>
      <c r="AA14" s="12">
        <f t="shared" si="24"/>
        <v>0.2117751811</v>
      </c>
      <c r="AB14" s="12">
        <f t="shared" si="25"/>
        <v>0.07059172705</v>
      </c>
      <c r="AC14" s="13">
        <f t="shared" si="26"/>
        <v>40525.97051</v>
      </c>
      <c r="AD14" s="13">
        <f t="shared" si="27"/>
        <v>470681.5862</v>
      </c>
      <c r="AE14" s="12">
        <f t="shared" si="28"/>
        <v>0.08610060749</v>
      </c>
      <c r="AF14" s="12">
        <f t="shared" si="29"/>
        <v>0.0287002025</v>
      </c>
      <c r="AH14" s="3">
        <f t="shared" si="59"/>
        <v>859149.5594</v>
      </c>
      <c r="AI14" s="4">
        <f t="shared" si="60"/>
        <v>3556.088089</v>
      </c>
      <c r="AJ14" s="3">
        <f t="shared" si="30"/>
        <v>1789.894915</v>
      </c>
      <c r="AK14" s="3">
        <f t="shared" si="31"/>
        <v>1766.193174</v>
      </c>
      <c r="AL14" s="3">
        <f t="shared" si="32"/>
        <v>837955.2413</v>
      </c>
      <c r="AN14" s="3">
        <f t="shared" si="61"/>
        <v>640850.4406</v>
      </c>
      <c r="AO14" s="3">
        <f t="shared" si="33"/>
        <v>1789.894915</v>
      </c>
      <c r="AP14" s="3">
        <f t="shared" si="34"/>
        <v>21478.73899</v>
      </c>
      <c r="AQ14" s="3">
        <f t="shared" si="35"/>
        <v>1766.193174</v>
      </c>
      <c r="AR14" s="3">
        <f t="shared" si="36"/>
        <v>21194.31809</v>
      </c>
      <c r="AS14" s="3">
        <f t="shared" si="37"/>
        <v>662044.7587</v>
      </c>
      <c r="AT14" s="3">
        <f t="shared" si="62"/>
        <v>177233.627</v>
      </c>
      <c r="AU14" s="3">
        <f t="shared" si="38"/>
        <v>14129.54539</v>
      </c>
      <c r="AV14" s="3">
        <f t="shared" si="39"/>
        <v>191363.1724</v>
      </c>
      <c r="AW14" s="3">
        <f t="shared" si="63"/>
        <v>463616.8135</v>
      </c>
      <c r="AX14" s="3">
        <f t="shared" si="40"/>
        <v>7064.772696</v>
      </c>
      <c r="AY14" s="3">
        <f t="shared" si="41"/>
        <v>470681.5862</v>
      </c>
      <c r="AZ14" s="3">
        <f t="shared" si="42"/>
        <v>662044.7587</v>
      </c>
      <c r="BA14" s="3"/>
      <c r="BB14" s="4">
        <f t="shared" si="43"/>
        <v>4080.4</v>
      </c>
      <c r="BC14" s="4">
        <f t="shared" si="44"/>
        <v>3556.088089</v>
      </c>
      <c r="BD14" s="4">
        <f t="shared" ref="BD14:BE14" si="64">K14</f>
        <v>170.0166667</v>
      </c>
      <c r="BE14" s="4">
        <f t="shared" si="64"/>
        <v>416.16</v>
      </c>
      <c r="BF14" s="4">
        <f t="shared" si="46"/>
        <v>-61.86475603</v>
      </c>
      <c r="BG14" s="4">
        <f t="shared" ref="BG14:BH14" si="65">BG13</f>
        <v>1185.362696</v>
      </c>
      <c r="BH14" s="4">
        <f t="shared" si="65"/>
        <v>2370.725393</v>
      </c>
      <c r="BI14" s="1">
        <f t="shared" si="66"/>
        <v>1166.99</v>
      </c>
      <c r="BJ14" s="4">
        <f t="shared" si="48"/>
        <v>1203.735393</v>
      </c>
    </row>
    <row r="15">
      <c r="B15" s="1">
        <f t="shared" si="55"/>
        <v>4</v>
      </c>
      <c r="C15" s="1">
        <f t="shared" si="6"/>
        <v>29</v>
      </c>
      <c r="D15" s="3">
        <f t="shared" si="56"/>
        <v>1591812</v>
      </c>
      <c r="E15" s="2">
        <f t="shared" si="7"/>
        <v>1.061208</v>
      </c>
      <c r="F15" s="3">
        <f t="shared" si="8"/>
        <v>91812</v>
      </c>
      <c r="G15" s="2">
        <f t="shared" si="9"/>
        <v>0.061208</v>
      </c>
      <c r="I15" s="3">
        <f t="shared" si="57"/>
        <v>4121.204</v>
      </c>
      <c r="J15" s="3">
        <f t="shared" si="10"/>
        <v>1745.740086</v>
      </c>
      <c r="K15" s="4">
        <f t="shared" si="11"/>
        <v>171.7168333</v>
      </c>
      <c r="L15" s="3">
        <f t="shared" si="58"/>
        <v>424.4832</v>
      </c>
      <c r="M15" s="3">
        <f t="shared" si="12"/>
        <v>1779.263881</v>
      </c>
      <c r="N15" s="3">
        <f t="shared" si="13"/>
        <v>21351.16657</v>
      </c>
      <c r="O15" s="2">
        <f t="shared" si="14"/>
        <v>0.01423411104</v>
      </c>
      <c r="P15" s="3"/>
      <c r="Q15" s="3">
        <f t="shared" si="15"/>
        <v>113163.1666</v>
      </c>
      <c r="R15" s="2">
        <f t="shared" si="16"/>
        <v>0.07544211104</v>
      </c>
      <c r="S15" s="12">
        <f t="shared" si="17"/>
        <v>0.01886052776</v>
      </c>
      <c r="U15" s="3">
        <f t="shared" si="18"/>
        <v>113163.1666</v>
      </c>
      <c r="V15" s="3">
        <f t="shared" si="19"/>
        <v>683768.9347</v>
      </c>
      <c r="W15" s="2">
        <f t="shared" si="20"/>
        <v>0.165499134</v>
      </c>
      <c r="X15" s="12">
        <f t="shared" si="21"/>
        <v>0.04137478351</v>
      </c>
      <c r="Y15" s="13">
        <f t="shared" si="22"/>
        <v>56581.58328</v>
      </c>
      <c r="Z15" s="13">
        <f t="shared" si="23"/>
        <v>205845.9565</v>
      </c>
      <c r="AA15" s="12">
        <f t="shared" si="24"/>
        <v>0.274873426</v>
      </c>
      <c r="AB15" s="12">
        <f t="shared" si="25"/>
        <v>0.0687183565</v>
      </c>
      <c r="AC15" s="13">
        <f t="shared" si="26"/>
        <v>56581.58328</v>
      </c>
      <c r="AD15" s="13">
        <f t="shared" si="27"/>
        <v>477922.9782</v>
      </c>
      <c r="AE15" s="12">
        <f t="shared" si="28"/>
        <v>0.1183905898</v>
      </c>
      <c r="AF15" s="12">
        <f t="shared" si="29"/>
        <v>0.02959764746</v>
      </c>
      <c r="AH15" s="3">
        <f t="shared" si="59"/>
        <v>837955.2413</v>
      </c>
      <c r="AI15" s="4">
        <f t="shared" si="60"/>
        <v>3556.088089</v>
      </c>
      <c r="AJ15" s="3">
        <f t="shared" si="30"/>
        <v>1745.740086</v>
      </c>
      <c r="AK15" s="3">
        <f t="shared" si="31"/>
        <v>1810.348003</v>
      </c>
      <c r="AL15" s="3">
        <f t="shared" si="32"/>
        <v>816231.0653</v>
      </c>
      <c r="AN15" s="3">
        <f t="shared" si="61"/>
        <v>662044.7587</v>
      </c>
      <c r="AO15" s="3">
        <f t="shared" si="33"/>
        <v>1745.740086</v>
      </c>
      <c r="AP15" s="3">
        <f t="shared" si="34"/>
        <v>20948.88103</v>
      </c>
      <c r="AQ15" s="3">
        <f t="shared" si="35"/>
        <v>1810.348003</v>
      </c>
      <c r="AR15" s="3">
        <f t="shared" si="36"/>
        <v>21724.17604</v>
      </c>
      <c r="AS15" s="3">
        <f t="shared" si="37"/>
        <v>683768.9347</v>
      </c>
      <c r="AT15" s="3">
        <f t="shared" si="62"/>
        <v>191363.1724</v>
      </c>
      <c r="AU15" s="3">
        <f t="shared" si="38"/>
        <v>14482.78403</v>
      </c>
      <c r="AV15" s="3">
        <f t="shared" si="39"/>
        <v>205845.9565</v>
      </c>
      <c r="AW15" s="3">
        <f t="shared" si="63"/>
        <v>470681.5862</v>
      </c>
      <c r="AX15" s="3">
        <f t="shared" si="40"/>
        <v>7241.392013</v>
      </c>
      <c r="AY15" s="3">
        <f t="shared" si="41"/>
        <v>477922.9782</v>
      </c>
      <c r="AZ15" s="3">
        <f t="shared" si="42"/>
        <v>683768.9347</v>
      </c>
      <c r="BA15" s="3"/>
      <c r="BB15" s="4">
        <f t="shared" si="43"/>
        <v>4121.204</v>
      </c>
      <c r="BC15" s="4">
        <f t="shared" si="44"/>
        <v>3556.088089</v>
      </c>
      <c r="BD15" s="4">
        <f t="shared" ref="BD15:BE15" si="67">K15</f>
        <v>171.7168333</v>
      </c>
      <c r="BE15" s="4">
        <f t="shared" si="67"/>
        <v>424.4832</v>
      </c>
      <c r="BF15" s="4">
        <f t="shared" si="46"/>
        <v>-31.08412269</v>
      </c>
      <c r="BG15" s="4">
        <f t="shared" ref="BG15:BH15" si="68">BG14</f>
        <v>1185.362696</v>
      </c>
      <c r="BH15" s="4">
        <f t="shared" si="68"/>
        <v>2370.725393</v>
      </c>
      <c r="BI15" s="1">
        <f t="shared" si="66"/>
        <v>1201.9997</v>
      </c>
      <c r="BJ15" s="4">
        <f t="shared" si="48"/>
        <v>1168.725693</v>
      </c>
    </row>
    <row r="16">
      <c r="B16" s="1">
        <f t="shared" si="55"/>
        <v>5</v>
      </c>
      <c r="C16" s="1">
        <f t="shared" si="6"/>
        <v>30</v>
      </c>
      <c r="D16" s="3">
        <f t="shared" si="56"/>
        <v>1623648.24</v>
      </c>
      <c r="E16" s="2">
        <f t="shared" si="7"/>
        <v>1.08243216</v>
      </c>
      <c r="F16" s="3">
        <f t="shared" si="8"/>
        <v>123648.24</v>
      </c>
      <c r="G16" s="2">
        <f t="shared" si="9"/>
        <v>0.08243216</v>
      </c>
      <c r="I16" s="3">
        <f t="shared" si="57"/>
        <v>4162.41604</v>
      </c>
      <c r="J16" s="3">
        <f t="shared" si="10"/>
        <v>1700.481386</v>
      </c>
      <c r="K16" s="4">
        <f t="shared" si="11"/>
        <v>173.4340017</v>
      </c>
      <c r="L16" s="3">
        <f t="shared" si="58"/>
        <v>432.972864</v>
      </c>
      <c r="M16" s="3">
        <f t="shared" si="12"/>
        <v>1855.527788</v>
      </c>
      <c r="N16" s="3">
        <f t="shared" si="13"/>
        <v>22266.33346</v>
      </c>
      <c r="O16" s="2">
        <f t="shared" si="14"/>
        <v>0.01484422231</v>
      </c>
      <c r="P16" s="3"/>
      <c r="Q16" s="3">
        <f t="shared" si="15"/>
        <v>145914.5735</v>
      </c>
      <c r="R16" s="2">
        <f t="shared" si="16"/>
        <v>0.09727638231</v>
      </c>
      <c r="S16" s="12">
        <f t="shared" si="17"/>
        <v>0.01945527646</v>
      </c>
      <c r="U16" s="3">
        <f t="shared" si="18"/>
        <v>145914.5735</v>
      </c>
      <c r="V16" s="3">
        <f t="shared" si="19"/>
        <v>706036.2151</v>
      </c>
      <c r="W16" s="2">
        <f t="shared" si="20"/>
        <v>0.2066672648</v>
      </c>
      <c r="X16" s="12">
        <f t="shared" si="21"/>
        <v>0.04133345297</v>
      </c>
      <c r="Y16" s="13">
        <f t="shared" si="22"/>
        <v>72957.28673</v>
      </c>
      <c r="Z16" s="13">
        <f t="shared" si="23"/>
        <v>220690.8101</v>
      </c>
      <c r="AA16" s="12">
        <f t="shared" si="24"/>
        <v>0.3305859755</v>
      </c>
      <c r="AB16" s="12">
        <f t="shared" si="25"/>
        <v>0.06611719509</v>
      </c>
      <c r="AC16" s="13">
        <f t="shared" si="26"/>
        <v>72957.28673</v>
      </c>
      <c r="AD16" s="13">
        <f t="shared" si="27"/>
        <v>485345.405</v>
      </c>
      <c r="AE16" s="12">
        <f t="shared" si="28"/>
        <v>0.1503203409</v>
      </c>
      <c r="AF16" s="12">
        <f t="shared" si="29"/>
        <v>0.03006406818</v>
      </c>
      <c r="AH16" s="3">
        <f t="shared" si="59"/>
        <v>816231.0653</v>
      </c>
      <c r="AI16" s="4">
        <f t="shared" si="60"/>
        <v>3556.088089</v>
      </c>
      <c r="AJ16" s="3">
        <f t="shared" si="30"/>
        <v>1700.481386</v>
      </c>
      <c r="AK16" s="3">
        <f t="shared" si="31"/>
        <v>1855.606703</v>
      </c>
      <c r="AL16" s="3">
        <f t="shared" si="32"/>
        <v>793963.7849</v>
      </c>
      <c r="AN16" s="3">
        <f t="shared" si="61"/>
        <v>683768.9347</v>
      </c>
      <c r="AO16" s="3">
        <f t="shared" si="33"/>
        <v>1700.481386</v>
      </c>
      <c r="AP16" s="3">
        <f t="shared" si="34"/>
        <v>20405.77663</v>
      </c>
      <c r="AQ16" s="3">
        <f t="shared" si="35"/>
        <v>1855.606703</v>
      </c>
      <c r="AR16" s="3">
        <f t="shared" si="36"/>
        <v>22267.28044</v>
      </c>
      <c r="AS16" s="3">
        <f t="shared" si="37"/>
        <v>706036.2151</v>
      </c>
      <c r="AT16" s="3">
        <f t="shared" si="62"/>
        <v>205845.9565</v>
      </c>
      <c r="AU16" s="3">
        <f t="shared" si="38"/>
        <v>14844.85363</v>
      </c>
      <c r="AV16" s="3">
        <f t="shared" si="39"/>
        <v>220690.8101</v>
      </c>
      <c r="AW16" s="3">
        <f t="shared" si="63"/>
        <v>477922.9782</v>
      </c>
      <c r="AX16" s="3">
        <f t="shared" si="40"/>
        <v>7422.426813</v>
      </c>
      <c r="AY16" s="3">
        <f t="shared" si="41"/>
        <v>485345.405</v>
      </c>
      <c r="AZ16" s="3">
        <f t="shared" si="42"/>
        <v>706036.2151</v>
      </c>
      <c r="BA16" s="3"/>
      <c r="BB16" s="4">
        <f t="shared" si="43"/>
        <v>4162.41604</v>
      </c>
      <c r="BC16" s="4">
        <f t="shared" si="44"/>
        <v>3556.088089</v>
      </c>
      <c r="BD16" s="4">
        <f t="shared" ref="BD16:BE16" si="69">K16</f>
        <v>173.4340017</v>
      </c>
      <c r="BE16" s="4">
        <f t="shared" si="69"/>
        <v>432.972864</v>
      </c>
      <c r="BF16" s="4">
        <f t="shared" si="46"/>
        <v>-0.07891502614</v>
      </c>
      <c r="BG16" s="4">
        <f t="shared" ref="BG16:BH16" si="70">BG15</f>
        <v>1185.362696</v>
      </c>
      <c r="BH16" s="4">
        <f t="shared" si="70"/>
        <v>2370.725393</v>
      </c>
      <c r="BI16" s="1">
        <f t="shared" si="66"/>
        <v>1238.059691</v>
      </c>
      <c r="BJ16" s="4">
        <f t="shared" si="48"/>
        <v>1132.665702</v>
      </c>
    </row>
    <row r="17">
      <c r="B17" s="1">
        <f t="shared" si="55"/>
        <v>6</v>
      </c>
      <c r="C17" s="1">
        <f t="shared" si="6"/>
        <v>31</v>
      </c>
      <c r="D17" s="3">
        <f t="shared" si="56"/>
        <v>1656121.205</v>
      </c>
      <c r="E17" s="2">
        <f t="shared" si="7"/>
        <v>1.104080803</v>
      </c>
      <c r="F17" s="3">
        <f t="shared" si="8"/>
        <v>156121.2048</v>
      </c>
      <c r="G17" s="2">
        <f t="shared" si="9"/>
        <v>0.1040808032</v>
      </c>
      <c r="I17" s="3">
        <f t="shared" si="57"/>
        <v>4204.0402</v>
      </c>
      <c r="J17" s="3">
        <f t="shared" si="10"/>
        <v>1654.091218</v>
      </c>
      <c r="K17" s="4">
        <f t="shared" si="11"/>
        <v>175.1683417</v>
      </c>
      <c r="L17" s="3">
        <f t="shared" si="58"/>
        <v>441.6323213</v>
      </c>
      <c r="M17" s="3">
        <f t="shared" si="12"/>
        <v>1933.148319</v>
      </c>
      <c r="N17" s="3">
        <f t="shared" si="13"/>
        <v>23197.77983</v>
      </c>
      <c r="O17" s="2">
        <f t="shared" si="14"/>
        <v>0.01546518655</v>
      </c>
      <c r="P17" s="3"/>
      <c r="Q17" s="3">
        <f t="shared" si="15"/>
        <v>179318.9846</v>
      </c>
      <c r="R17" s="2">
        <f t="shared" si="16"/>
        <v>0.1195459898</v>
      </c>
      <c r="S17" s="12">
        <f t="shared" si="17"/>
        <v>0.01992433163</v>
      </c>
      <c r="U17" s="3">
        <f t="shared" si="18"/>
        <v>179318.9846</v>
      </c>
      <c r="V17" s="3">
        <f t="shared" si="19"/>
        <v>728860.1776</v>
      </c>
      <c r="W17" s="2">
        <f t="shared" si="20"/>
        <v>0.2460265908</v>
      </c>
      <c r="X17" s="12">
        <f t="shared" si="21"/>
        <v>0.04100443179</v>
      </c>
      <c r="Y17" s="13">
        <f t="shared" si="22"/>
        <v>89659.49231</v>
      </c>
      <c r="Z17" s="13">
        <f t="shared" si="23"/>
        <v>235906.7851</v>
      </c>
      <c r="AA17" s="12">
        <f t="shared" si="24"/>
        <v>0.3800632199</v>
      </c>
      <c r="AB17" s="12">
        <f t="shared" si="25"/>
        <v>0.06334386998</v>
      </c>
      <c r="AC17" s="13">
        <f t="shared" si="26"/>
        <v>89659.49231</v>
      </c>
      <c r="AD17" s="13">
        <f t="shared" si="27"/>
        <v>492953.3925</v>
      </c>
      <c r="AE17" s="12">
        <f t="shared" si="28"/>
        <v>0.1818822908</v>
      </c>
      <c r="AF17" s="12">
        <f t="shared" si="29"/>
        <v>0.03031371514</v>
      </c>
      <c r="AH17" s="3">
        <f t="shared" si="59"/>
        <v>793963.7849</v>
      </c>
      <c r="AI17" s="4">
        <f t="shared" si="60"/>
        <v>3556.088089</v>
      </c>
      <c r="AJ17" s="3">
        <f t="shared" si="30"/>
        <v>1654.091218</v>
      </c>
      <c r="AK17" s="3">
        <f t="shared" si="31"/>
        <v>1901.996871</v>
      </c>
      <c r="AL17" s="3">
        <f t="shared" si="32"/>
        <v>771139.8224</v>
      </c>
      <c r="AN17" s="3">
        <f t="shared" si="61"/>
        <v>706036.2151</v>
      </c>
      <c r="AO17" s="3">
        <f t="shared" si="33"/>
        <v>1654.091218</v>
      </c>
      <c r="AP17" s="3">
        <f t="shared" si="34"/>
        <v>19849.09462</v>
      </c>
      <c r="AQ17" s="3">
        <f t="shared" si="35"/>
        <v>1901.996871</v>
      </c>
      <c r="AR17" s="3">
        <f t="shared" si="36"/>
        <v>22823.96245</v>
      </c>
      <c r="AS17" s="3">
        <f t="shared" si="37"/>
        <v>728860.1776</v>
      </c>
      <c r="AT17" s="3">
        <f t="shared" si="62"/>
        <v>220690.8101</v>
      </c>
      <c r="AU17" s="3">
        <f t="shared" si="38"/>
        <v>15215.97497</v>
      </c>
      <c r="AV17" s="3">
        <f t="shared" si="39"/>
        <v>235906.7851</v>
      </c>
      <c r="AW17" s="3">
        <f t="shared" si="63"/>
        <v>485345.405</v>
      </c>
      <c r="AX17" s="3">
        <f t="shared" si="40"/>
        <v>7607.987484</v>
      </c>
      <c r="AY17" s="3">
        <f t="shared" si="41"/>
        <v>492953.3925</v>
      </c>
      <c r="AZ17" s="3">
        <f t="shared" si="42"/>
        <v>728860.1776</v>
      </c>
      <c r="BA17" s="3"/>
      <c r="BB17" s="4">
        <f t="shared" si="43"/>
        <v>4204.0402</v>
      </c>
      <c r="BC17" s="4">
        <f t="shared" si="44"/>
        <v>3556.088089</v>
      </c>
      <c r="BD17" s="4">
        <f t="shared" ref="BD17:BE17" si="71">K17</f>
        <v>175.1683417</v>
      </c>
      <c r="BE17" s="4">
        <f t="shared" si="71"/>
        <v>441.6323213</v>
      </c>
      <c r="BF17" s="4">
        <f t="shared" si="46"/>
        <v>31.15144808</v>
      </c>
      <c r="BG17" s="4">
        <f t="shared" ref="BG17:BH17" si="72">BG16</f>
        <v>1185.362696</v>
      </c>
      <c r="BH17" s="4">
        <f t="shared" si="72"/>
        <v>2370.725393</v>
      </c>
      <c r="BI17" s="1">
        <f t="shared" si="66"/>
        <v>1275.201482</v>
      </c>
      <c r="BJ17" s="4">
        <f t="shared" si="48"/>
        <v>1095.523911</v>
      </c>
    </row>
    <row r="18">
      <c r="B18" s="1">
        <f t="shared" si="55"/>
        <v>7</v>
      </c>
      <c r="C18" s="1">
        <f t="shared" si="6"/>
        <v>32</v>
      </c>
      <c r="D18" s="3">
        <f t="shared" si="56"/>
        <v>1689243.629</v>
      </c>
      <c r="E18" s="2">
        <f t="shared" si="7"/>
        <v>1.126162419</v>
      </c>
      <c r="F18" s="3">
        <f t="shared" si="8"/>
        <v>189243.6289</v>
      </c>
      <c r="G18" s="2">
        <f t="shared" si="9"/>
        <v>0.1261624193</v>
      </c>
      <c r="I18" s="3">
        <f t="shared" si="57"/>
        <v>4246.080602</v>
      </c>
      <c r="J18" s="3">
        <f t="shared" si="10"/>
        <v>1606.541297</v>
      </c>
      <c r="K18" s="4">
        <f t="shared" si="11"/>
        <v>176.9200251</v>
      </c>
      <c r="L18" s="3">
        <f t="shared" si="58"/>
        <v>450.4649677</v>
      </c>
      <c r="M18" s="3">
        <f t="shared" si="12"/>
        <v>2012.154313</v>
      </c>
      <c r="N18" s="3">
        <f t="shared" si="13"/>
        <v>24145.85175</v>
      </c>
      <c r="O18" s="2">
        <f t="shared" si="14"/>
        <v>0.0160972345</v>
      </c>
      <c r="P18" s="3"/>
      <c r="Q18" s="3">
        <f t="shared" si="15"/>
        <v>213389.4807</v>
      </c>
      <c r="R18" s="2">
        <f t="shared" si="16"/>
        <v>0.1422596538</v>
      </c>
      <c r="S18" s="12">
        <f t="shared" si="17"/>
        <v>0.02032280768</v>
      </c>
      <c r="U18" s="3">
        <f t="shared" si="18"/>
        <v>213389.4807</v>
      </c>
      <c r="V18" s="3">
        <f t="shared" si="19"/>
        <v>752254.7391</v>
      </c>
      <c r="W18" s="2">
        <f t="shared" si="20"/>
        <v>0.2836665156</v>
      </c>
      <c r="X18" s="12">
        <f t="shared" si="21"/>
        <v>0.04052378794</v>
      </c>
      <c r="Y18" s="13">
        <f t="shared" si="22"/>
        <v>106694.7403</v>
      </c>
      <c r="Z18" s="13">
        <f t="shared" si="23"/>
        <v>251503.1594</v>
      </c>
      <c r="AA18" s="12">
        <f t="shared" si="24"/>
        <v>0.4242282307</v>
      </c>
      <c r="AB18" s="12">
        <f t="shared" si="25"/>
        <v>0.06060403296</v>
      </c>
      <c r="AC18" s="13">
        <f t="shared" si="26"/>
        <v>106694.7403</v>
      </c>
      <c r="AD18" s="13">
        <f t="shared" si="27"/>
        <v>500751.5797</v>
      </c>
      <c r="AE18" s="12">
        <f t="shared" si="28"/>
        <v>0.2130692037</v>
      </c>
      <c r="AF18" s="12">
        <f t="shared" si="29"/>
        <v>0.03043845767</v>
      </c>
      <c r="AH18" s="3">
        <f t="shared" si="59"/>
        <v>771139.8224</v>
      </c>
      <c r="AI18" s="4">
        <f t="shared" si="60"/>
        <v>3556.088089</v>
      </c>
      <c r="AJ18" s="3">
        <f t="shared" si="30"/>
        <v>1606.541297</v>
      </c>
      <c r="AK18" s="3">
        <f t="shared" si="31"/>
        <v>1949.546793</v>
      </c>
      <c r="AL18" s="3">
        <f t="shared" si="32"/>
        <v>747745.2609</v>
      </c>
      <c r="AN18" s="3">
        <f t="shared" si="61"/>
        <v>728860.1776</v>
      </c>
      <c r="AO18" s="3">
        <f t="shared" si="33"/>
        <v>1606.541297</v>
      </c>
      <c r="AP18" s="3">
        <f t="shared" si="34"/>
        <v>19278.49556</v>
      </c>
      <c r="AQ18" s="3">
        <f t="shared" si="35"/>
        <v>1949.546793</v>
      </c>
      <c r="AR18" s="3">
        <f t="shared" si="36"/>
        <v>23394.56151</v>
      </c>
      <c r="AS18" s="3">
        <f t="shared" si="37"/>
        <v>752254.7391</v>
      </c>
      <c r="AT18" s="3">
        <f t="shared" si="62"/>
        <v>235906.7851</v>
      </c>
      <c r="AU18" s="3">
        <f t="shared" si="38"/>
        <v>15596.37434</v>
      </c>
      <c r="AV18" s="3">
        <f t="shared" si="39"/>
        <v>251503.1594</v>
      </c>
      <c r="AW18" s="3">
        <f t="shared" si="63"/>
        <v>492953.3925</v>
      </c>
      <c r="AX18" s="3">
        <f t="shared" si="40"/>
        <v>7798.187171</v>
      </c>
      <c r="AY18" s="3">
        <f t="shared" si="41"/>
        <v>500751.5797</v>
      </c>
      <c r="AZ18" s="3">
        <f t="shared" si="42"/>
        <v>752254.7391</v>
      </c>
      <c r="BA18" s="3"/>
      <c r="BB18" s="4">
        <f t="shared" si="43"/>
        <v>4246.080602</v>
      </c>
      <c r="BC18" s="4">
        <f t="shared" si="44"/>
        <v>3556.088089</v>
      </c>
      <c r="BD18" s="4">
        <f t="shared" ref="BD18:BE18" si="73">K18</f>
        <v>176.9200251</v>
      </c>
      <c r="BE18" s="4">
        <f t="shared" si="73"/>
        <v>450.4649677</v>
      </c>
      <c r="BF18" s="4">
        <f t="shared" si="46"/>
        <v>62.60752024</v>
      </c>
      <c r="BG18" s="4">
        <f t="shared" ref="BG18:BH18" si="74">BG17</f>
        <v>1185.362696</v>
      </c>
      <c r="BH18" s="4">
        <f t="shared" si="74"/>
        <v>2370.725393</v>
      </c>
      <c r="BI18" s="1">
        <f t="shared" si="66"/>
        <v>1313.457526</v>
      </c>
      <c r="BJ18" s="4">
        <f t="shared" si="48"/>
        <v>1057.267867</v>
      </c>
    </row>
    <row r="19">
      <c r="B19" s="1">
        <f t="shared" si="55"/>
        <v>8</v>
      </c>
      <c r="C19" s="1">
        <f t="shared" si="6"/>
        <v>33</v>
      </c>
      <c r="D19" s="3">
        <f t="shared" si="56"/>
        <v>1723028.501</v>
      </c>
      <c r="E19" s="2">
        <f t="shared" si="7"/>
        <v>1.148685668</v>
      </c>
      <c r="F19" s="3">
        <f t="shared" si="8"/>
        <v>223028.5015</v>
      </c>
      <c r="G19" s="2">
        <f t="shared" si="9"/>
        <v>0.1486856676</v>
      </c>
      <c r="I19" s="3">
        <f t="shared" si="57"/>
        <v>4288.541408</v>
      </c>
      <c r="J19" s="3">
        <f t="shared" si="10"/>
        <v>1557.802627</v>
      </c>
      <c r="K19" s="4">
        <f t="shared" si="11"/>
        <v>178.6892254</v>
      </c>
      <c r="L19" s="3">
        <f t="shared" si="58"/>
        <v>459.4742671</v>
      </c>
      <c r="M19" s="3">
        <f t="shared" si="12"/>
        <v>2092.575289</v>
      </c>
      <c r="N19" s="3">
        <f t="shared" si="13"/>
        <v>25110.90347</v>
      </c>
      <c r="O19" s="2">
        <f t="shared" si="14"/>
        <v>0.01674060231</v>
      </c>
      <c r="P19" s="3"/>
      <c r="Q19" s="3">
        <f t="shared" si="15"/>
        <v>248139.4049</v>
      </c>
      <c r="R19" s="2">
        <f t="shared" si="16"/>
        <v>0.16542627</v>
      </c>
      <c r="S19" s="12">
        <f t="shared" si="17"/>
        <v>0.02067828375</v>
      </c>
      <c r="U19" s="3">
        <f t="shared" si="18"/>
        <v>248139.4049</v>
      </c>
      <c r="V19" s="3">
        <f t="shared" si="19"/>
        <v>776234.1646</v>
      </c>
      <c r="W19" s="2">
        <f t="shared" si="20"/>
        <v>0.319670811</v>
      </c>
      <c r="X19" s="12">
        <f t="shared" si="21"/>
        <v>0.03995885138</v>
      </c>
      <c r="Y19" s="13">
        <f t="shared" si="22"/>
        <v>124069.7025</v>
      </c>
      <c r="Z19" s="13">
        <f t="shared" si="23"/>
        <v>267489.4431</v>
      </c>
      <c r="AA19" s="12">
        <f t="shared" si="24"/>
        <v>0.4638302769</v>
      </c>
      <c r="AB19" s="12">
        <f t="shared" si="25"/>
        <v>0.05797878462</v>
      </c>
      <c r="AC19" s="13">
        <f t="shared" si="26"/>
        <v>124069.7025</v>
      </c>
      <c r="AD19" s="13">
        <f t="shared" si="27"/>
        <v>508744.7215</v>
      </c>
      <c r="AE19" s="12">
        <f t="shared" si="28"/>
        <v>0.2438741813</v>
      </c>
      <c r="AF19" s="12">
        <f t="shared" si="29"/>
        <v>0.03048427267</v>
      </c>
      <c r="AH19" s="3">
        <f t="shared" si="59"/>
        <v>747745.2609</v>
      </c>
      <c r="AI19" s="4">
        <f t="shared" si="60"/>
        <v>3556.088089</v>
      </c>
      <c r="AJ19" s="3">
        <f t="shared" si="30"/>
        <v>1557.802627</v>
      </c>
      <c r="AK19" s="3">
        <f t="shared" si="31"/>
        <v>1998.285462</v>
      </c>
      <c r="AL19" s="3">
        <f t="shared" si="32"/>
        <v>723765.8354</v>
      </c>
      <c r="AN19" s="3">
        <f t="shared" si="61"/>
        <v>752254.7391</v>
      </c>
      <c r="AO19" s="3">
        <f t="shared" si="33"/>
        <v>1557.802627</v>
      </c>
      <c r="AP19" s="3">
        <f t="shared" si="34"/>
        <v>18693.63152</v>
      </c>
      <c r="AQ19" s="3">
        <f t="shared" si="35"/>
        <v>1998.285462</v>
      </c>
      <c r="AR19" s="3">
        <f t="shared" si="36"/>
        <v>23979.42555</v>
      </c>
      <c r="AS19" s="3">
        <f t="shared" si="37"/>
        <v>776234.1646</v>
      </c>
      <c r="AT19" s="3">
        <f t="shared" si="62"/>
        <v>251503.1594</v>
      </c>
      <c r="AU19" s="3">
        <f t="shared" si="38"/>
        <v>15986.2837</v>
      </c>
      <c r="AV19" s="3">
        <f t="shared" si="39"/>
        <v>267489.4431</v>
      </c>
      <c r="AW19" s="3">
        <f t="shared" si="63"/>
        <v>500751.5797</v>
      </c>
      <c r="AX19" s="3">
        <f t="shared" si="40"/>
        <v>7993.14185</v>
      </c>
      <c r="AY19" s="3">
        <f t="shared" si="41"/>
        <v>508744.7215</v>
      </c>
      <c r="AZ19" s="3">
        <f t="shared" si="42"/>
        <v>776234.1646</v>
      </c>
      <c r="BA19" s="3"/>
      <c r="BB19" s="4">
        <f t="shared" si="43"/>
        <v>4288.541408</v>
      </c>
      <c r="BC19" s="4">
        <f t="shared" si="44"/>
        <v>3556.088089</v>
      </c>
      <c r="BD19" s="4">
        <f t="shared" ref="BD19:BE19" si="75">K19</f>
        <v>178.6892254</v>
      </c>
      <c r="BE19" s="4">
        <f t="shared" si="75"/>
        <v>459.4742671</v>
      </c>
      <c r="BF19" s="4">
        <f t="shared" si="46"/>
        <v>94.28982666</v>
      </c>
      <c r="BG19" s="4">
        <f t="shared" ref="BG19:BH19" si="76">BG18</f>
        <v>1185.362696</v>
      </c>
      <c r="BH19" s="4">
        <f t="shared" si="76"/>
        <v>2370.725393</v>
      </c>
      <c r="BI19" s="1">
        <f t="shared" si="66"/>
        <v>1352.861252</v>
      </c>
      <c r="BJ19" s="4">
        <f t="shared" si="48"/>
        <v>1017.864141</v>
      </c>
    </row>
    <row r="20">
      <c r="B20" s="1">
        <f t="shared" si="55"/>
        <v>9</v>
      </c>
      <c r="C20" s="1">
        <f t="shared" si="6"/>
        <v>34</v>
      </c>
      <c r="D20" s="3">
        <f t="shared" si="56"/>
        <v>1757489.072</v>
      </c>
      <c r="E20" s="2">
        <f t="shared" si="7"/>
        <v>1.171659381</v>
      </c>
      <c r="F20" s="3">
        <f t="shared" si="8"/>
        <v>257489.0715</v>
      </c>
      <c r="G20" s="2">
        <f t="shared" si="9"/>
        <v>0.171659381</v>
      </c>
      <c r="I20" s="3">
        <f t="shared" si="57"/>
        <v>4331.426823</v>
      </c>
      <c r="J20" s="3">
        <f t="shared" si="10"/>
        <v>1507.84549</v>
      </c>
      <c r="K20" s="4">
        <f t="shared" si="11"/>
        <v>180.4761176</v>
      </c>
      <c r="L20" s="3">
        <f t="shared" si="58"/>
        <v>468.6637524</v>
      </c>
      <c r="M20" s="3">
        <f t="shared" si="12"/>
        <v>2174.441462</v>
      </c>
      <c r="N20" s="3">
        <f t="shared" si="13"/>
        <v>26093.29755</v>
      </c>
      <c r="O20" s="2">
        <f t="shared" si="14"/>
        <v>0.0173955317</v>
      </c>
      <c r="P20" s="3"/>
      <c r="Q20" s="3">
        <f t="shared" si="15"/>
        <v>283582.369</v>
      </c>
      <c r="R20" s="2">
        <f t="shared" si="16"/>
        <v>0.1890549127</v>
      </c>
      <c r="S20" s="12">
        <f t="shared" si="17"/>
        <v>0.02100610141</v>
      </c>
      <c r="U20" s="3">
        <f t="shared" si="18"/>
        <v>283582.369</v>
      </c>
      <c r="V20" s="3">
        <f t="shared" si="19"/>
        <v>800813.0758</v>
      </c>
      <c r="W20" s="2">
        <f t="shared" si="20"/>
        <v>0.3541180553</v>
      </c>
      <c r="X20" s="12">
        <f t="shared" si="21"/>
        <v>0.03934645059</v>
      </c>
      <c r="Y20" s="13">
        <f t="shared" si="22"/>
        <v>141791.1845</v>
      </c>
      <c r="Z20" s="13">
        <f t="shared" si="23"/>
        <v>283875.3839</v>
      </c>
      <c r="AA20" s="12">
        <f t="shared" si="24"/>
        <v>0.4994839023</v>
      </c>
      <c r="AB20" s="12">
        <f t="shared" si="25"/>
        <v>0.05549821137</v>
      </c>
      <c r="AC20" s="13">
        <f t="shared" si="26"/>
        <v>141791.1845</v>
      </c>
      <c r="AD20" s="13">
        <f t="shared" si="27"/>
        <v>516937.6919</v>
      </c>
      <c r="AE20" s="12">
        <f t="shared" si="28"/>
        <v>0.2742906674</v>
      </c>
      <c r="AF20" s="12">
        <f t="shared" si="29"/>
        <v>0.03047674082</v>
      </c>
      <c r="AH20" s="3">
        <f t="shared" si="59"/>
        <v>723765.8354</v>
      </c>
      <c r="AI20" s="4">
        <f t="shared" si="60"/>
        <v>3556.088089</v>
      </c>
      <c r="AJ20" s="3">
        <f t="shared" si="30"/>
        <v>1507.84549</v>
      </c>
      <c r="AK20" s="3">
        <f t="shared" si="31"/>
        <v>2048.242599</v>
      </c>
      <c r="AL20" s="3">
        <f t="shared" si="32"/>
        <v>699186.9242</v>
      </c>
      <c r="AN20" s="3">
        <f t="shared" si="61"/>
        <v>776234.1646</v>
      </c>
      <c r="AO20" s="3">
        <f t="shared" si="33"/>
        <v>1507.84549</v>
      </c>
      <c r="AP20" s="3">
        <f t="shared" si="34"/>
        <v>18094.14588</v>
      </c>
      <c r="AQ20" s="3">
        <f t="shared" si="35"/>
        <v>2048.242599</v>
      </c>
      <c r="AR20" s="3">
        <f t="shared" si="36"/>
        <v>24578.91119</v>
      </c>
      <c r="AS20" s="3">
        <f t="shared" si="37"/>
        <v>800813.0758</v>
      </c>
      <c r="AT20" s="3">
        <f t="shared" si="62"/>
        <v>267489.4431</v>
      </c>
      <c r="AU20" s="3">
        <f t="shared" si="38"/>
        <v>16385.94079</v>
      </c>
      <c r="AV20" s="3">
        <f t="shared" si="39"/>
        <v>283875.3839</v>
      </c>
      <c r="AW20" s="3">
        <f t="shared" si="63"/>
        <v>508744.7215</v>
      </c>
      <c r="AX20" s="3">
        <f t="shared" si="40"/>
        <v>8192.970396</v>
      </c>
      <c r="AY20" s="3">
        <f t="shared" si="41"/>
        <v>516937.6919</v>
      </c>
      <c r="AZ20" s="3">
        <f t="shared" si="42"/>
        <v>800813.0758</v>
      </c>
      <c r="BA20" s="3"/>
      <c r="BB20" s="4">
        <f t="shared" si="43"/>
        <v>4331.426823</v>
      </c>
      <c r="BC20" s="4">
        <f t="shared" si="44"/>
        <v>3556.088089</v>
      </c>
      <c r="BD20" s="4">
        <f t="shared" ref="BD20:BE20" si="77">K20</f>
        <v>180.4761176</v>
      </c>
      <c r="BE20" s="4">
        <f t="shared" si="77"/>
        <v>468.6637524</v>
      </c>
      <c r="BF20" s="4">
        <f t="shared" si="46"/>
        <v>126.1988631</v>
      </c>
      <c r="BG20" s="4">
        <f t="shared" ref="BG20:BH20" si="78">BG19</f>
        <v>1185.362696</v>
      </c>
      <c r="BH20" s="4">
        <f t="shared" si="78"/>
        <v>2370.725393</v>
      </c>
      <c r="BI20" s="1">
        <f t="shared" si="66"/>
        <v>1393.44709</v>
      </c>
      <c r="BJ20" s="4">
        <f t="shared" si="48"/>
        <v>977.2783034</v>
      </c>
    </row>
    <row r="21" ht="15.75" customHeight="1">
      <c r="B21" s="1">
        <f t="shared" si="55"/>
        <v>10</v>
      </c>
      <c r="C21" s="1">
        <f t="shared" si="6"/>
        <v>35</v>
      </c>
      <c r="D21" s="3">
        <f t="shared" si="56"/>
        <v>1792638.853</v>
      </c>
      <c r="E21" s="2">
        <f t="shared" si="7"/>
        <v>1.195092569</v>
      </c>
      <c r="F21" s="3">
        <f t="shared" si="8"/>
        <v>292638.8529</v>
      </c>
      <c r="G21" s="2">
        <f t="shared" si="9"/>
        <v>0.1950925686</v>
      </c>
      <c r="I21" s="3">
        <f t="shared" si="57"/>
        <v>4374.741091</v>
      </c>
      <c r="J21" s="3">
        <f t="shared" si="10"/>
        <v>1456.639425</v>
      </c>
      <c r="K21" s="4">
        <f t="shared" si="11"/>
        <v>182.2808788</v>
      </c>
      <c r="L21" s="3">
        <f t="shared" si="58"/>
        <v>478.0370274</v>
      </c>
      <c r="M21" s="3">
        <f t="shared" si="12"/>
        <v>2257.783759</v>
      </c>
      <c r="N21" s="3">
        <f t="shared" si="13"/>
        <v>27093.40511</v>
      </c>
      <c r="O21" s="2">
        <f t="shared" si="14"/>
        <v>0.01806227007</v>
      </c>
      <c r="P21" s="3"/>
      <c r="Q21" s="3">
        <f t="shared" si="15"/>
        <v>319732.258</v>
      </c>
      <c r="R21" s="2">
        <f t="shared" si="16"/>
        <v>0.2131548387</v>
      </c>
      <c r="S21" s="12">
        <f t="shared" si="17"/>
        <v>0.02131548387</v>
      </c>
      <c r="U21" s="3">
        <f t="shared" si="18"/>
        <v>319732.258</v>
      </c>
      <c r="V21" s="3">
        <f t="shared" si="19"/>
        <v>826006.4598</v>
      </c>
      <c r="W21" s="2">
        <f t="shared" si="20"/>
        <v>0.387082031</v>
      </c>
      <c r="X21" s="12">
        <f t="shared" si="21"/>
        <v>0.0387082031</v>
      </c>
      <c r="Y21" s="13">
        <f t="shared" si="22"/>
        <v>159866.129</v>
      </c>
      <c r="Z21" s="13">
        <f t="shared" si="23"/>
        <v>300670.9732</v>
      </c>
      <c r="AA21" s="12">
        <f t="shared" si="24"/>
        <v>0.5316979132</v>
      </c>
      <c r="AB21" s="12">
        <f t="shared" si="25"/>
        <v>0.05316979132</v>
      </c>
      <c r="AC21" s="13">
        <f t="shared" si="26"/>
        <v>159866.129</v>
      </c>
      <c r="AD21" s="13">
        <f t="shared" si="27"/>
        <v>525335.4866</v>
      </c>
      <c r="AE21" s="12">
        <f t="shared" si="28"/>
        <v>0.30431245</v>
      </c>
      <c r="AF21" s="12">
        <f t="shared" si="29"/>
        <v>0.030431245</v>
      </c>
      <c r="AH21" s="3">
        <f t="shared" si="59"/>
        <v>699186.9242</v>
      </c>
      <c r="AI21" s="4">
        <f t="shared" si="60"/>
        <v>3556.088089</v>
      </c>
      <c r="AJ21" s="3">
        <f t="shared" si="30"/>
        <v>1456.639425</v>
      </c>
      <c r="AK21" s="3">
        <f t="shared" si="31"/>
        <v>2099.448664</v>
      </c>
      <c r="AL21" s="3">
        <f t="shared" si="32"/>
        <v>673993.5402</v>
      </c>
      <c r="AN21" s="3">
        <f t="shared" si="61"/>
        <v>800813.0758</v>
      </c>
      <c r="AO21" s="3">
        <f t="shared" si="33"/>
        <v>1456.639425</v>
      </c>
      <c r="AP21" s="3">
        <f t="shared" si="34"/>
        <v>17479.6731</v>
      </c>
      <c r="AQ21" s="3">
        <f t="shared" si="35"/>
        <v>2099.448664</v>
      </c>
      <c r="AR21" s="3">
        <f t="shared" si="36"/>
        <v>25193.38397</v>
      </c>
      <c r="AS21" s="3">
        <f t="shared" si="37"/>
        <v>826006.4598</v>
      </c>
      <c r="AT21" s="3">
        <f t="shared" si="62"/>
        <v>283875.3839</v>
      </c>
      <c r="AU21" s="3">
        <f t="shared" si="38"/>
        <v>16795.58931</v>
      </c>
      <c r="AV21" s="3">
        <f t="shared" si="39"/>
        <v>300670.9732</v>
      </c>
      <c r="AW21" s="3">
        <f t="shared" si="63"/>
        <v>516937.6919</v>
      </c>
      <c r="AX21" s="3">
        <f t="shared" si="40"/>
        <v>8397.794656</v>
      </c>
      <c r="AY21" s="3">
        <f t="shared" si="41"/>
        <v>525335.4866</v>
      </c>
      <c r="AZ21" s="3">
        <f t="shared" si="42"/>
        <v>826006.4598</v>
      </c>
      <c r="BA21" s="3"/>
      <c r="BB21" s="4">
        <f t="shared" si="43"/>
        <v>4374.741091</v>
      </c>
      <c r="BC21" s="4">
        <f t="shared" si="44"/>
        <v>3556.088089</v>
      </c>
      <c r="BD21" s="4">
        <f t="shared" ref="BD21:BE21" si="79">K21</f>
        <v>182.2808788</v>
      </c>
      <c r="BE21" s="4">
        <f t="shared" si="79"/>
        <v>478.0370274</v>
      </c>
      <c r="BF21" s="4">
        <f t="shared" si="46"/>
        <v>158.3350951</v>
      </c>
      <c r="BG21" s="4">
        <f t="shared" ref="BG21:BH21" si="80">BG20</f>
        <v>1185.362696</v>
      </c>
      <c r="BH21" s="4">
        <f t="shared" si="80"/>
        <v>2370.725393</v>
      </c>
      <c r="BI21" s="1">
        <f t="shared" si="66"/>
        <v>1435.250502</v>
      </c>
      <c r="BJ21" s="4">
        <f t="shared" si="48"/>
        <v>935.4748907</v>
      </c>
    </row>
    <row r="22" ht="15.75" customHeight="1">
      <c r="B22" s="1">
        <f t="shared" si="55"/>
        <v>11</v>
      </c>
      <c r="C22" s="1">
        <f t="shared" si="6"/>
        <v>36</v>
      </c>
      <c r="D22" s="3">
        <f t="shared" si="56"/>
        <v>1828491.63</v>
      </c>
      <c r="E22" s="2">
        <f t="shared" si="7"/>
        <v>1.21899442</v>
      </c>
      <c r="F22" s="3">
        <f t="shared" si="8"/>
        <v>328491.63</v>
      </c>
      <c r="G22" s="2">
        <f t="shared" si="9"/>
        <v>0.21899442</v>
      </c>
      <c r="I22" s="3">
        <f t="shared" si="57"/>
        <v>4418.488502</v>
      </c>
      <c r="J22" s="3">
        <f t="shared" si="10"/>
        <v>1404.153209</v>
      </c>
      <c r="K22" s="4">
        <f t="shared" si="11"/>
        <v>184.1036876</v>
      </c>
      <c r="L22" s="3">
        <f t="shared" si="58"/>
        <v>487.597768</v>
      </c>
      <c r="M22" s="3">
        <f t="shared" si="12"/>
        <v>2342.633837</v>
      </c>
      <c r="N22" s="3">
        <f t="shared" si="13"/>
        <v>28111.60605</v>
      </c>
      <c r="O22" s="2">
        <f t="shared" si="14"/>
        <v>0.0187410707</v>
      </c>
      <c r="P22" s="3"/>
      <c r="Q22" s="3">
        <f t="shared" si="15"/>
        <v>356603.236</v>
      </c>
      <c r="R22" s="2">
        <f t="shared" si="16"/>
        <v>0.2377354907</v>
      </c>
      <c r="S22" s="12">
        <f t="shared" si="17"/>
        <v>0.02161231734</v>
      </c>
      <c r="U22" s="3">
        <f t="shared" si="18"/>
        <v>356603.236</v>
      </c>
      <c r="V22" s="3">
        <f t="shared" si="19"/>
        <v>851829.6784</v>
      </c>
      <c r="W22" s="2">
        <f t="shared" si="20"/>
        <v>0.418632087</v>
      </c>
      <c r="X22" s="12">
        <f t="shared" si="21"/>
        <v>0.03805746246</v>
      </c>
      <c r="Y22" s="13">
        <f t="shared" si="22"/>
        <v>178301.618</v>
      </c>
      <c r="Z22" s="13">
        <f t="shared" si="23"/>
        <v>317886.4522</v>
      </c>
      <c r="AA22" s="12">
        <f t="shared" si="24"/>
        <v>0.5608971907</v>
      </c>
      <c r="AB22" s="12">
        <f t="shared" si="25"/>
        <v>0.0509906537</v>
      </c>
      <c r="AC22" s="13">
        <f t="shared" si="26"/>
        <v>178301.618</v>
      </c>
      <c r="AD22" s="13">
        <f t="shared" si="27"/>
        <v>533943.2261</v>
      </c>
      <c r="AE22" s="12">
        <f t="shared" si="28"/>
        <v>0.3339336643</v>
      </c>
      <c r="AF22" s="12">
        <f t="shared" si="29"/>
        <v>0.03035760584</v>
      </c>
      <c r="AH22" s="3">
        <f t="shared" si="59"/>
        <v>673993.5402</v>
      </c>
      <c r="AI22" s="4">
        <f t="shared" si="60"/>
        <v>3556.088089</v>
      </c>
      <c r="AJ22" s="3">
        <f t="shared" si="30"/>
        <v>1404.153209</v>
      </c>
      <c r="AK22" s="3">
        <f t="shared" si="31"/>
        <v>2151.934881</v>
      </c>
      <c r="AL22" s="3">
        <f t="shared" si="32"/>
        <v>648170.3216</v>
      </c>
      <c r="AN22" s="3">
        <f t="shared" si="61"/>
        <v>826006.4598</v>
      </c>
      <c r="AO22" s="3">
        <f t="shared" si="33"/>
        <v>1404.153209</v>
      </c>
      <c r="AP22" s="3">
        <f t="shared" si="34"/>
        <v>16849.8385</v>
      </c>
      <c r="AQ22" s="3">
        <f t="shared" si="35"/>
        <v>2151.934881</v>
      </c>
      <c r="AR22" s="3">
        <f t="shared" si="36"/>
        <v>25823.21857</v>
      </c>
      <c r="AS22" s="3">
        <f t="shared" si="37"/>
        <v>851829.6784</v>
      </c>
      <c r="AT22" s="3">
        <f t="shared" si="62"/>
        <v>300670.9732</v>
      </c>
      <c r="AU22" s="3">
        <f t="shared" si="38"/>
        <v>17215.47904</v>
      </c>
      <c r="AV22" s="3">
        <f t="shared" si="39"/>
        <v>317886.4522</v>
      </c>
      <c r="AW22" s="3">
        <f t="shared" si="63"/>
        <v>525335.4866</v>
      </c>
      <c r="AX22" s="3">
        <f t="shared" si="40"/>
        <v>8607.739522</v>
      </c>
      <c r="AY22" s="3">
        <f t="shared" si="41"/>
        <v>533943.2261</v>
      </c>
      <c r="AZ22" s="3">
        <f t="shared" si="42"/>
        <v>851829.6784</v>
      </c>
      <c r="BA22" s="3"/>
      <c r="BB22" s="4">
        <f t="shared" si="43"/>
        <v>4418.488502</v>
      </c>
      <c r="BC22" s="4">
        <f t="shared" si="44"/>
        <v>3556.088089</v>
      </c>
      <c r="BD22" s="4">
        <f t="shared" ref="BD22:BE22" si="81">K22</f>
        <v>184.1036876</v>
      </c>
      <c r="BE22" s="4">
        <f t="shared" si="81"/>
        <v>487.597768</v>
      </c>
      <c r="BF22" s="4">
        <f t="shared" si="46"/>
        <v>190.6989567</v>
      </c>
      <c r="BG22" s="4">
        <f t="shared" ref="BG22:BH22" si="82">BG21</f>
        <v>1185.362696</v>
      </c>
      <c r="BH22" s="4">
        <f t="shared" si="82"/>
        <v>2370.725393</v>
      </c>
      <c r="BI22" s="1">
        <f t="shared" si="66"/>
        <v>1478.308017</v>
      </c>
      <c r="BJ22" s="4">
        <f t="shared" si="48"/>
        <v>892.4173756</v>
      </c>
    </row>
    <row r="23" ht="15.75" customHeight="1">
      <c r="B23" s="1">
        <f t="shared" si="55"/>
        <v>12</v>
      </c>
      <c r="C23" s="1">
        <f t="shared" si="6"/>
        <v>37</v>
      </c>
      <c r="D23" s="3">
        <f t="shared" si="56"/>
        <v>1865061.463</v>
      </c>
      <c r="E23" s="2">
        <f t="shared" si="7"/>
        <v>1.243374308</v>
      </c>
      <c r="F23" s="3">
        <f t="shared" si="8"/>
        <v>365061.4626</v>
      </c>
      <c r="G23" s="2">
        <f t="shared" si="9"/>
        <v>0.2433743084</v>
      </c>
      <c r="I23" s="3">
        <f t="shared" si="57"/>
        <v>4462.673387</v>
      </c>
      <c r="J23" s="3">
        <f t="shared" si="10"/>
        <v>1350.354837</v>
      </c>
      <c r="K23" s="4">
        <f t="shared" si="11"/>
        <v>185.9447244</v>
      </c>
      <c r="L23" s="3">
        <f t="shared" si="58"/>
        <v>497.3497234</v>
      </c>
      <c r="M23" s="3">
        <f t="shared" si="12"/>
        <v>2429.024102</v>
      </c>
      <c r="N23" s="3">
        <f t="shared" si="13"/>
        <v>29148.28923</v>
      </c>
      <c r="O23" s="2">
        <f t="shared" si="14"/>
        <v>0.01943219282</v>
      </c>
      <c r="P23" s="3"/>
      <c r="Q23" s="3">
        <f t="shared" si="15"/>
        <v>394209.7518</v>
      </c>
      <c r="R23" s="2">
        <f t="shared" si="16"/>
        <v>0.2628065012</v>
      </c>
      <c r="S23" s="12">
        <f t="shared" si="17"/>
        <v>0.02190054177</v>
      </c>
      <c r="U23" s="3">
        <f t="shared" si="18"/>
        <v>394209.7518</v>
      </c>
      <c r="V23" s="3">
        <f t="shared" si="19"/>
        <v>878298.4774</v>
      </c>
      <c r="W23" s="2">
        <f t="shared" si="20"/>
        <v>0.4488334683</v>
      </c>
      <c r="X23" s="12">
        <f t="shared" si="21"/>
        <v>0.03740278903</v>
      </c>
      <c r="Y23" s="13">
        <f t="shared" si="22"/>
        <v>197104.8759</v>
      </c>
      <c r="Z23" s="13">
        <f t="shared" si="23"/>
        <v>335532.3183</v>
      </c>
      <c r="AA23" s="12">
        <f t="shared" si="24"/>
        <v>0.5874393171</v>
      </c>
      <c r="AB23" s="12">
        <f t="shared" si="25"/>
        <v>0.04895327642</v>
      </c>
      <c r="AC23" s="13">
        <f t="shared" si="26"/>
        <v>197104.8759</v>
      </c>
      <c r="AD23" s="13">
        <f t="shared" si="27"/>
        <v>542766.1591</v>
      </c>
      <c r="AE23" s="12">
        <f t="shared" si="28"/>
        <v>0.3631487936</v>
      </c>
      <c r="AF23" s="12">
        <f t="shared" si="29"/>
        <v>0.03026239947</v>
      </c>
      <c r="AH23" s="3">
        <f t="shared" si="59"/>
        <v>648170.3216</v>
      </c>
      <c r="AI23" s="4">
        <f t="shared" si="60"/>
        <v>3556.088089</v>
      </c>
      <c r="AJ23" s="3">
        <f t="shared" si="30"/>
        <v>1350.354837</v>
      </c>
      <c r="AK23" s="3">
        <f t="shared" si="31"/>
        <v>2205.733253</v>
      </c>
      <c r="AL23" s="3">
        <f t="shared" si="32"/>
        <v>621701.5226</v>
      </c>
      <c r="AN23" s="3">
        <f t="shared" si="61"/>
        <v>851829.6784</v>
      </c>
      <c r="AO23" s="3">
        <f t="shared" si="33"/>
        <v>1350.354837</v>
      </c>
      <c r="AP23" s="3">
        <f t="shared" si="34"/>
        <v>16204.25804</v>
      </c>
      <c r="AQ23" s="3">
        <f t="shared" si="35"/>
        <v>2205.733253</v>
      </c>
      <c r="AR23" s="3">
        <f t="shared" si="36"/>
        <v>26468.79903</v>
      </c>
      <c r="AS23" s="3">
        <f t="shared" si="37"/>
        <v>878298.4774</v>
      </c>
      <c r="AT23" s="3">
        <f t="shared" si="62"/>
        <v>317886.4522</v>
      </c>
      <c r="AU23" s="3">
        <f t="shared" si="38"/>
        <v>17645.86602</v>
      </c>
      <c r="AV23" s="3">
        <f t="shared" si="39"/>
        <v>335532.3183</v>
      </c>
      <c r="AW23" s="3">
        <f t="shared" si="63"/>
        <v>533943.2261</v>
      </c>
      <c r="AX23" s="3">
        <f t="shared" si="40"/>
        <v>8822.933011</v>
      </c>
      <c r="AY23" s="3">
        <f t="shared" si="41"/>
        <v>542766.1591</v>
      </c>
      <c r="AZ23" s="3">
        <f t="shared" si="42"/>
        <v>878298.4774</v>
      </c>
      <c r="BA23" s="3"/>
      <c r="BB23" s="4">
        <f t="shared" si="43"/>
        <v>4462.673387</v>
      </c>
      <c r="BC23" s="4">
        <f t="shared" si="44"/>
        <v>3556.088089</v>
      </c>
      <c r="BD23" s="4">
        <f t="shared" ref="BD23:BE23" si="83">K23</f>
        <v>185.9447244</v>
      </c>
      <c r="BE23" s="4">
        <f t="shared" si="83"/>
        <v>497.3497234</v>
      </c>
      <c r="BF23" s="4">
        <f t="shared" si="46"/>
        <v>223.2908495</v>
      </c>
      <c r="BG23" s="4">
        <f t="shared" ref="BG23:BH23" si="84">BG22</f>
        <v>1185.362696</v>
      </c>
      <c r="BH23" s="4">
        <f t="shared" si="84"/>
        <v>2370.725393</v>
      </c>
      <c r="BI23" s="1">
        <f t="shared" si="66"/>
        <v>1522.657258</v>
      </c>
      <c r="BJ23" s="4">
        <f t="shared" si="48"/>
        <v>848.0681351</v>
      </c>
    </row>
    <row r="24" ht="15.75" customHeight="1">
      <c r="B24" s="1">
        <f t="shared" si="55"/>
        <v>13</v>
      </c>
      <c r="C24" s="1">
        <f t="shared" si="6"/>
        <v>38</v>
      </c>
      <c r="D24" s="3">
        <f t="shared" si="56"/>
        <v>1902362.692</v>
      </c>
      <c r="E24" s="2">
        <f t="shared" si="7"/>
        <v>1.268241795</v>
      </c>
      <c r="F24" s="3">
        <f t="shared" si="8"/>
        <v>402362.6918</v>
      </c>
      <c r="G24" s="2">
        <f t="shared" si="9"/>
        <v>0.2682417946</v>
      </c>
      <c r="I24" s="3">
        <f t="shared" si="57"/>
        <v>4507.300121</v>
      </c>
      <c r="J24" s="3">
        <f t="shared" si="10"/>
        <v>1295.211505</v>
      </c>
      <c r="K24" s="4">
        <f t="shared" si="11"/>
        <v>187.8041717</v>
      </c>
      <c r="L24" s="3">
        <f t="shared" si="58"/>
        <v>507.2967178</v>
      </c>
      <c r="M24" s="3">
        <f t="shared" si="12"/>
        <v>2516.987726</v>
      </c>
      <c r="N24" s="3">
        <f t="shared" si="13"/>
        <v>30203.85271</v>
      </c>
      <c r="O24" s="2">
        <f t="shared" si="14"/>
        <v>0.0201359018</v>
      </c>
      <c r="P24" s="3"/>
      <c r="Q24" s="3">
        <f t="shared" si="15"/>
        <v>432566.5446</v>
      </c>
      <c r="R24" s="2">
        <f t="shared" si="16"/>
        <v>0.2883776964</v>
      </c>
      <c r="S24" s="12">
        <f t="shared" si="17"/>
        <v>0.02218289972</v>
      </c>
      <c r="U24" s="3">
        <f t="shared" si="18"/>
        <v>432566.5446</v>
      </c>
      <c r="V24" s="3">
        <f t="shared" si="19"/>
        <v>905428.9964</v>
      </c>
      <c r="W24" s="2">
        <f t="shared" si="20"/>
        <v>0.4777476161</v>
      </c>
      <c r="X24" s="12">
        <f t="shared" si="21"/>
        <v>0.03674981662</v>
      </c>
      <c r="Y24" s="13">
        <f t="shared" si="22"/>
        <v>216283.2723</v>
      </c>
      <c r="Z24" s="13">
        <f t="shared" si="23"/>
        <v>353619.3309</v>
      </c>
      <c r="AA24" s="12">
        <f t="shared" si="24"/>
        <v>0.6116274009</v>
      </c>
      <c r="AB24" s="12">
        <f t="shared" si="25"/>
        <v>0.0470482616</v>
      </c>
      <c r="AC24" s="13">
        <f t="shared" si="26"/>
        <v>216283.2723</v>
      </c>
      <c r="AD24" s="13">
        <f t="shared" si="27"/>
        <v>551809.6655</v>
      </c>
      <c r="AE24" s="12">
        <f t="shared" si="28"/>
        <v>0.391952671</v>
      </c>
      <c r="AF24" s="12">
        <f t="shared" si="29"/>
        <v>0.03015020546</v>
      </c>
      <c r="AH24" s="3">
        <f t="shared" si="59"/>
        <v>621701.5226</v>
      </c>
      <c r="AI24" s="4">
        <f t="shared" si="60"/>
        <v>3556.088089</v>
      </c>
      <c r="AJ24" s="3">
        <f t="shared" si="30"/>
        <v>1295.211505</v>
      </c>
      <c r="AK24" s="3">
        <f t="shared" si="31"/>
        <v>2260.876584</v>
      </c>
      <c r="AL24" s="3">
        <f t="shared" si="32"/>
        <v>594571.0036</v>
      </c>
      <c r="AN24" s="3">
        <f t="shared" si="61"/>
        <v>878298.4774</v>
      </c>
      <c r="AO24" s="3">
        <f t="shared" si="33"/>
        <v>1295.211505</v>
      </c>
      <c r="AP24" s="3">
        <f t="shared" si="34"/>
        <v>15542.53806</v>
      </c>
      <c r="AQ24" s="3">
        <f t="shared" si="35"/>
        <v>2260.876584</v>
      </c>
      <c r="AR24" s="3">
        <f t="shared" si="36"/>
        <v>27130.51901</v>
      </c>
      <c r="AS24" s="3">
        <f t="shared" si="37"/>
        <v>905428.9964</v>
      </c>
      <c r="AT24" s="3">
        <f t="shared" si="62"/>
        <v>335532.3183</v>
      </c>
      <c r="AU24" s="3">
        <f t="shared" si="38"/>
        <v>18087.01267</v>
      </c>
      <c r="AV24" s="3">
        <f t="shared" si="39"/>
        <v>353619.3309</v>
      </c>
      <c r="AW24" s="3">
        <f t="shared" si="63"/>
        <v>542766.1591</v>
      </c>
      <c r="AX24" s="3">
        <f t="shared" si="40"/>
        <v>9043.506336</v>
      </c>
      <c r="AY24" s="3">
        <f t="shared" si="41"/>
        <v>551809.6655</v>
      </c>
      <c r="AZ24" s="3">
        <f t="shared" si="42"/>
        <v>905428.9964</v>
      </c>
      <c r="BA24" s="3"/>
      <c r="BB24" s="4">
        <f t="shared" si="43"/>
        <v>4507.300121</v>
      </c>
      <c r="BC24" s="4">
        <f t="shared" si="44"/>
        <v>3556.088089</v>
      </c>
      <c r="BD24" s="4">
        <f t="shared" ref="BD24:BE24" si="85">K24</f>
        <v>187.8041717</v>
      </c>
      <c r="BE24" s="4">
        <f t="shared" si="85"/>
        <v>507.2967178</v>
      </c>
      <c r="BF24" s="4">
        <f t="shared" si="46"/>
        <v>256.1111417</v>
      </c>
      <c r="BG24" s="4">
        <f t="shared" ref="BG24:BH24" si="86">BG23</f>
        <v>1185.362696</v>
      </c>
      <c r="BH24" s="4">
        <f t="shared" si="86"/>
        <v>2370.725393</v>
      </c>
      <c r="BI24" s="1">
        <f t="shared" si="66"/>
        <v>1564</v>
      </c>
      <c r="BJ24" s="4">
        <f t="shared" si="48"/>
        <v>806.7253929</v>
      </c>
    </row>
    <row r="25" ht="15.75" customHeight="1">
      <c r="B25" s="1">
        <f t="shared" si="55"/>
        <v>14</v>
      </c>
      <c r="C25" s="1">
        <f t="shared" si="6"/>
        <v>39</v>
      </c>
      <c r="D25" s="3">
        <f t="shared" si="56"/>
        <v>1940409.946</v>
      </c>
      <c r="E25" s="2">
        <f t="shared" si="7"/>
        <v>1.29360663</v>
      </c>
      <c r="F25" s="3">
        <f t="shared" si="8"/>
        <v>440409.9457</v>
      </c>
      <c r="G25" s="2">
        <f t="shared" si="9"/>
        <v>0.2936066305</v>
      </c>
      <c r="I25" s="3">
        <f t="shared" si="57"/>
        <v>4552.373122</v>
      </c>
      <c r="J25" s="3">
        <f t="shared" si="10"/>
        <v>1238.689591</v>
      </c>
      <c r="K25" s="4">
        <f t="shared" si="11"/>
        <v>189.6822134</v>
      </c>
      <c r="L25" s="3">
        <f t="shared" si="58"/>
        <v>517.4426522</v>
      </c>
      <c r="M25" s="3">
        <f t="shared" si="12"/>
        <v>2606.558665</v>
      </c>
      <c r="N25" s="3">
        <f t="shared" si="13"/>
        <v>31278.70398</v>
      </c>
      <c r="O25" s="2">
        <f t="shared" si="14"/>
        <v>0.02085246932</v>
      </c>
      <c r="P25" s="3"/>
      <c r="Q25" s="3">
        <f t="shared" si="15"/>
        <v>471688.6497</v>
      </c>
      <c r="R25" s="2">
        <f t="shared" si="16"/>
        <v>0.3144590998</v>
      </c>
      <c r="S25" s="12">
        <f t="shared" si="17"/>
        <v>0.02246136427</v>
      </c>
      <c r="U25" s="3">
        <f t="shared" si="18"/>
        <v>471688.6497</v>
      </c>
      <c r="V25" s="3">
        <f t="shared" si="19"/>
        <v>933237.7784</v>
      </c>
      <c r="W25" s="2">
        <f t="shared" si="20"/>
        <v>0.5054324424</v>
      </c>
      <c r="X25" s="12">
        <f t="shared" si="21"/>
        <v>0.03610231731</v>
      </c>
      <c r="Y25" s="13">
        <f t="shared" si="22"/>
        <v>235844.3248</v>
      </c>
      <c r="Z25" s="13">
        <f t="shared" si="23"/>
        <v>372158.5189</v>
      </c>
      <c r="AA25" s="12">
        <f t="shared" si="24"/>
        <v>0.6337200758</v>
      </c>
      <c r="AB25" s="12">
        <f t="shared" si="25"/>
        <v>0.0452657197</v>
      </c>
      <c r="AC25" s="13">
        <f t="shared" si="26"/>
        <v>235844.3248</v>
      </c>
      <c r="AD25" s="13">
        <f t="shared" si="27"/>
        <v>561079.2595</v>
      </c>
      <c r="AE25" s="12">
        <f t="shared" si="28"/>
        <v>0.4203404793</v>
      </c>
      <c r="AF25" s="12">
        <f t="shared" si="29"/>
        <v>0.03002431995</v>
      </c>
      <c r="AH25" s="3">
        <f t="shared" si="59"/>
        <v>594571.0036</v>
      </c>
      <c r="AI25" s="4">
        <f t="shared" si="60"/>
        <v>3556.088089</v>
      </c>
      <c r="AJ25" s="3">
        <f t="shared" si="30"/>
        <v>1238.689591</v>
      </c>
      <c r="AK25" s="3">
        <f t="shared" si="31"/>
        <v>2317.398499</v>
      </c>
      <c r="AL25" s="3">
        <f t="shared" si="32"/>
        <v>566762.2216</v>
      </c>
      <c r="AN25" s="3">
        <f t="shared" si="61"/>
        <v>905428.9964</v>
      </c>
      <c r="AO25" s="3">
        <f t="shared" si="33"/>
        <v>1238.689591</v>
      </c>
      <c r="AP25" s="3">
        <f t="shared" si="34"/>
        <v>14864.27509</v>
      </c>
      <c r="AQ25" s="3">
        <f t="shared" si="35"/>
        <v>2317.398499</v>
      </c>
      <c r="AR25" s="3">
        <f t="shared" si="36"/>
        <v>27808.78198</v>
      </c>
      <c r="AS25" s="3">
        <f t="shared" si="37"/>
        <v>933237.7784</v>
      </c>
      <c r="AT25" s="3">
        <f t="shared" si="62"/>
        <v>353619.3309</v>
      </c>
      <c r="AU25" s="3">
        <f t="shared" si="38"/>
        <v>18539.18799</v>
      </c>
      <c r="AV25" s="3">
        <f t="shared" si="39"/>
        <v>372158.5189</v>
      </c>
      <c r="AW25" s="3">
        <f t="shared" si="63"/>
        <v>551809.6655</v>
      </c>
      <c r="AX25" s="3">
        <f t="shared" si="40"/>
        <v>9269.593994</v>
      </c>
      <c r="AY25" s="3">
        <f t="shared" si="41"/>
        <v>561079.2595</v>
      </c>
      <c r="AZ25" s="3">
        <f t="shared" si="42"/>
        <v>933237.7784</v>
      </c>
      <c r="BA25" s="3"/>
      <c r="BB25" s="4">
        <f t="shared" si="43"/>
        <v>4552.373122</v>
      </c>
      <c r="BC25" s="4">
        <f t="shared" si="44"/>
        <v>3556.088089</v>
      </c>
      <c r="BD25" s="4">
        <f t="shared" ref="BD25:BE25" si="87">K25</f>
        <v>189.6822134</v>
      </c>
      <c r="BE25" s="4">
        <f t="shared" si="87"/>
        <v>517.4426522</v>
      </c>
      <c r="BF25" s="4">
        <f t="shared" si="46"/>
        <v>289.1601668</v>
      </c>
      <c r="BG25" s="4">
        <f t="shared" ref="BG25:BH25" si="88">BG24</f>
        <v>1185.362696</v>
      </c>
      <c r="BH25" s="4">
        <f t="shared" si="88"/>
        <v>2370.725393</v>
      </c>
      <c r="BI25" s="1">
        <f t="shared" si="66"/>
        <v>1564</v>
      </c>
      <c r="BJ25" s="4">
        <f t="shared" si="48"/>
        <v>806.7253929</v>
      </c>
    </row>
    <row r="26" ht="15.75" customHeight="1">
      <c r="B26" s="1">
        <f t="shared" si="55"/>
        <v>15</v>
      </c>
      <c r="C26" s="1">
        <f t="shared" si="6"/>
        <v>40</v>
      </c>
      <c r="D26" s="3">
        <f t="shared" si="56"/>
        <v>1979218.145</v>
      </c>
      <c r="E26" s="2">
        <f t="shared" si="7"/>
        <v>1.319478763</v>
      </c>
      <c r="F26" s="3">
        <f t="shared" si="8"/>
        <v>479218.1446</v>
      </c>
      <c r="G26" s="2">
        <f t="shared" si="9"/>
        <v>0.3194787631</v>
      </c>
      <c r="I26" s="3">
        <f t="shared" si="57"/>
        <v>4597.896853</v>
      </c>
      <c r="J26" s="3">
        <f t="shared" si="10"/>
        <v>1180.754628</v>
      </c>
      <c r="K26" s="4">
        <f t="shared" si="11"/>
        <v>191.5790355</v>
      </c>
      <c r="L26" s="3">
        <f t="shared" si="58"/>
        <v>527.7915052</v>
      </c>
      <c r="M26" s="3">
        <f t="shared" si="12"/>
        <v>2697.771684</v>
      </c>
      <c r="N26" s="3">
        <f t="shared" si="13"/>
        <v>32373.26021</v>
      </c>
      <c r="O26" s="2">
        <f t="shared" si="14"/>
        <v>0.02158217347</v>
      </c>
      <c r="P26" s="3"/>
      <c r="Q26" s="3">
        <f t="shared" si="15"/>
        <v>511591.4048</v>
      </c>
      <c r="R26" s="2">
        <f t="shared" si="16"/>
        <v>0.3410609365</v>
      </c>
      <c r="S26" s="12">
        <f t="shared" si="17"/>
        <v>0.02273739577</v>
      </c>
      <c r="U26" s="3">
        <f t="shared" si="18"/>
        <v>511591.4048</v>
      </c>
      <c r="V26" s="3">
        <f t="shared" si="19"/>
        <v>961741.7799</v>
      </c>
      <c r="W26" s="2">
        <f t="shared" si="20"/>
        <v>0.5319425811</v>
      </c>
      <c r="X26" s="12">
        <f t="shared" si="21"/>
        <v>0.03546283874</v>
      </c>
      <c r="Y26" s="13">
        <f t="shared" si="22"/>
        <v>255795.7024</v>
      </c>
      <c r="Z26" s="13">
        <f t="shared" si="23"/>
        <v>391161.1866</v>
      </c>
      <c r="AA26" s="12">
        <f t="shared" si="24"/>
        <v>0.6539393763</v>
      </c>
      <c r="AB26" s="12">
        <f t="shared" si="25"/>
        <v>0.04359595842</v>
      </c>
      <c r="AC26" s="13">
        <f t="shared" si="26"/>
        <v>255795.7024</v>
      </c>
      <c r="AD26" s="13">
        <f t="shared" si="27"/>
        <v>570580.5933</v>
      </c>
      <c r="AE26" s="12">
        <f t="shared" si="28"/>
        <v>0.4483077507</v>
      </c>
      <c r="AF26" s="12">
        <f t="shared" si="29"/>
        <v>0.02988718338</v>
      </c>
      <c r="AH26" s="3">
        <f t="shared" si="59"/>
        <v>566762.2216</v>
      </c>
      <c r="AI26" s="4">
        <f t="shared" si="60"/>
        <v>3556.088089</v>
      </c>
      <c r="AJ26" s="3">
        <f t="shared" si="30"/>
        <v>1180.754628</v>
      </c>
      <c r="AK26" s="3">
        <f t="shared" si="31"/>
        <v>2375.333461</v>
      </c>
      <c r="AL26" s="3">
        <f t="shared" si="32"/>
        <v>538258.2201</v>
      </c>
      <c r="AN26" s="3">
        <f t="shared" si="61"/>
        <v>933237.7784</v>
      </c>
      <c r="AO26" s="3">
        <f t="shared" si="33"/>
        <v>1180.754628</v>
      </c>
      <c r="AP26" s="3">
        <f t="shared" si="34"/>
        <v>14169.05554</v>
      </c>
      <c r="AQ26" s="3">
        <f t="shared" si="35"/>
        <v>2375.333461</v>
      </c>
      <c r="AR26" s="3">
        <f t="shared" si="36"/>
        <v>28504.00153</v>
      </c>
      <c r="AS26" s="3">
        <f t="shared" si="37"/>
        <v>961741.7799</v>
      </c>
      <c r="AT26" s="3">
        <f t="shared" si="62"/>
        <v>372158.5189</v>
      </c>
      <c r="AU26" s="3">
        <f t="shared" si="38"/>
        <v>19002.66769</v>
      </c>
      <c r="AV26" s="3">
        <f t="shared" si="39"/>
        <v>391161.1866</v>
      </c>
      <c r="AW26" s="3">
        <f t="shared" si="63"/>
        <v>561079.2595</v>
      </c>
      <c r="AX26" s="3">
        <f t="shared" si="40"/>
        <v>9501.333844</v>
      </c>
      <c r="AY26" s="3">
        <f t="shared" si="41"/>
        <v>570580.5933</v>
      </c>
      <c r="AZ26" s="3">
        <f t="shared" si="42"/>
        <v>961741.7799</v>
      </c>
      <c r="BA26" s="3"/>
      <c r="BB26" s="4">
        <f t="shared" si="43"/>
        <v>4597.896853</v>
      </c>
      <c r="BC26" s="4">
        <f t="shared" si="44"/>
        <v>3556.088089</v>
      </c>
      <c r="BD26" s="4">
        <f t="shared" ref="BD26:BE26" si="89">K26</f>
        <v>191.5790355</v>
      </c>
      <c r="BE26" s="4">
        <f t="shared" si="89"/>
        <v>527.7915052</v>
      </c>
      <c r="BF26" s="4">
        <f t="shared" si="46"/>
        <v>322.4382228</v>
      </c>
      <c r="BG26" s="4">
        <f t="shared" ref="BG26:BH26" si="90">BG25</f>
        <v>1185.362696</v>
      </c>
      <c r="BH26" s="4">
        <f t="shared" si="90"/>
        <v>2370.725393</v>
      </c>
      <c r="BI26" s="1">
        <f t="shared" si="66"/>
        <v>1564</v>
      </c>
      <c r="BJ26" s="4">
        <f t="shared" si="48"/>
        <v>806.7253929</v>
      </c>
    </row>
    <row r="27" ht="15.75" customHeight="1">
      <c r="B27" s="1">
        <f t="shared" si="55"/>
        <v>16</v>
      </c>
      <c r="C27" s="1">
        <f t="shared" si="6"/>
        <v>41</v>
      </c>
      <c r="D27" s="3">
        <f t="shared" si="56"/>
        <v>2018802.507</v>
      </c>
      <c r="E27" s="2">
        <f t="shared" si="7"/>
        <v>1.345868338</v>
      </c>
      <c r="F27" s="3">
        <f t="shared" si="8"/>
        <v>518802.5075</v>
      </c>
      <c r="G27" s="2">
        <f t="shared" si="9"/>
        <v>0.3458683383</v>
      </c>
      <c r="I27" s="3">
        <f t="shared" si="57"/>
        <v>4643.875821</v>
      </c>
      <c r="J27" s="3">
        <f t="shared" si="10"/>
        <v>1121.371292</v>
      </c>
      <c r="K27" s="4">
        <f t="shared" si="11"/>
        <v>193.4948259</v>
      </c>
      <c r="L27" s="3">
        <f t="shared" si="58"/>
        <v>538.3473353</v>
      </c>
      <c r="M27" s="3">
        <f t="shared" si="12"/>
        <v>2790.662368</v>
      </c>
      <c r="N27" s="3">
        <f t="shared" si="13"/>
        <v>33487.94842</v>
      </c>
      <c r="O27" s="2">
        <f t="shared" si="14"/>
        <v>0.02232529895</v>
      </c>
      <c r="P27" s="3"/>
      <c r="Q27" s="3">
        <f t="shared" si="15"/>
        <v>552290.4559</v>
      </c>
      <c r="R27" s="2">
        <f t="shared" si="16"/>
        <v>0.3681936373</v>
      </c>
      <c r="S27" s="12">
        <f t="shared" si="17"/>
        <v>0.02301210233</v>
      </c>
      <c r="U27" s="3">
        <f t="shared" si="18"/>
        <v>552290.4559</v>
      </c>
      <c r="V27" s="3">
        <f t="shared" si="19"/>
        <v>990958.3815</v>
      </c>
      <c r="W27" s="2">
        <f t="shared" si="20"/>
        <v>0.5573296177</v>
      </c>
      <c r="X27" s="12">
        <f t="shared" si="21"/>
        <v>0.03483310111</v>
      </c>
      <c r="Y27" s="13">
        <f t="shared" si="22"/>
        <v>276145.228</v>
      </c>
      <c r="Z27" s="13">
        <f t="shared" si="23"/>
        <v>410638.921</v>
      </c>
      <c r="AA27" s="12">
        <f t="shared" si="24"/>
        <v>0.6724769958</v>
      </c>
      <c r="AB27" s="12">
        <f t="shared" si="25"/>
        <v>0.04202981224</v>
      </c>
      <c r="AC27" s="13">
        <f t="shared" si="26"/>
        <v>276145.228</v>
      </c>
      <c r="AD27" s="13">
        <f t="shared" si="27"/>
        <v>580319.4605</v>
      </c>
      <c r="AE27" s="12">
        <f t="shared" si="28"/>
        <v>0.4758503665</v>
      </c>
      <c r="AF27" s="12">
        <f t="shared" si="29"/>
        <v>0.0297406479</v>
      </c>
      <c r="AH27" s="3">
        <f t="shared" si="59"/>
        <v>538258.2201</v>
      </c>
      <c r="AI27" s="4">
        <f t="shared" si="60"/>
        <v>3556.088089</v>
      </c>
      <c r="AJ27" s="3">
        <f t="shared" si="30"/>
        <v>1121.371292</v>
      </c>
      <c r="AK27" s="3">
        <f t="shared" si="31"/>
        <v>2434.716798</v>
      </c>
      <c r="AL27" s="3">
        <f t="shared" si="32"/>
        <v>509041.6185</v>
      </c>
      <c r="AN27" s="3">
        <f t="shared" si="61"/>
        <v>961741.7799</v>
      </c>
      <c r="AO27" s="3">
        <f t="shared" si="33"/>
        <v>1121.371292</v>
      </c>
      <c r="AP27" s="3">
        <f t="shared" si="34"/>
        <v>13456.4555</v>
      </c>
      <c r="AQ27" s="3">
        <f t="shared" si="35"/>
        <v>2434.716798</v>
      </c>
      <c r="AR27" s="3">
        <f t="shared" si="36"/>
        <v>29216.60157</v>
      </c>
      <c r="AS27" s="3">
        <f t="shared" si="37"/>
        <v>990958.3815</v>
      </c>
      <c r="AT27" s="3">
        <f t="shared" si="62"/>
        <v>391161.1866</v>
      </c>
      <c r="AU27" s="3">
        <f t="shared" si="38"/>
        <v>19477.73438</v>
      </c>
      <c r="AV27" s="3">
        <f t="shared" si="39"/>
        <v>410638.921</v>
      </c>
      <c r="AW27" s="3">
        <f t="shared" si="63"/>
        <v>570580.5933</v>
      </c>
      <c r="AX27" s="3">
        <f t="shared" si="40"/>
        <v>9738.86719</v>
      </c>
      <c r="AY27" s="3">
        <f t="shared" si="41"/>
        <v>580319.4605</v>
      </c>
      <c r="AZ27" s="3">
        <f t="shared" si="42"/>
        <v>990958.3815</v>
      </c>
      <c r="BA27" s="3"/>
      <c r="BB27" s="4">
        <f t="shared" si="43"/>
        <v>4643.875821</v>
      </c>
      <c r="BC27" s="4">
        <f t="shared" si="44"/>
        <v>3556.088089</v>
      </c>
      <c r="BD27" s="4">
        <f t="shared" ref="BD27:BE27" si="91">K27</f>
        <v>193.4948259</v>
      </c>
      <c r="BE27" s="4">
        <f t="shared" si="91"/>
        <v>538.3473353</v>
      </c>
      <c r="BF27" s="4">
        <f t="shared" si="46"/>
        <v>355.9455709</v>
      </c>
      <c r="BG27" s="4">
        <f t="shared" ref="BG27:BH27" si="92">BG26</f>
        <v>1185.362696</v>
      </c>
      <c r="BH27" s="4">
        <f t="shared" si="92"/>
        <v>2370.725393</v>
      </c>
      <c r="BI27" s="1">
        <f t="shared" si="66"/>
        <v>1564</v>
      </c>
      <c r="BJ27" s="4">
        <f t="shared" si="48"/>
        <v>806.7253929</v>
      </c>
    </row>
    <row r="28" ht="15.75" customHeight="1">
      <c r="B28" s="1">
        <f t="shared" si="55"/>
        <v>17</v>
      </c>
      <c r="C28" s="1">
        <f t="shared" si="6"/>
        <v>42</v>
      </c>
      <c r="D28" s="3">
        <f t="shared" si="56"/>
        <v>2059178.558</v>
      </c>
      <c r="E28" s="2">
        <f t="shared" si="7"/>
        <v>1.372785705</v>
      </c>
      <c r="F28" s="3">
        <f t="shared" si="8"/>
        <v>559178.5576</v>
      </c>
      <c r="G28" s="2">
        <f t="shared" si="9"/>
        <v>0.3727857051</v>
      </c>
      <c r="I28" s="3">
        <f t="shared" si="57"/>
        <v>4690.31458</v>
      </c>
      <c r="J28" s="3">
        <f t="shared" si="10"/>
        <v>1060.503372</v>
      </c>
      <c r="K28" s="4">
        <f t="shared" si="11"/>
        <v>195.4297742</v>
      </c>
      <c r="L28" s="3">
        <f t="shared" si="58"/>
        <v>549.114282</v>
      </c>
      <c r="M28" s="3">
        <f t="shared" si="12"/>
        <v>2885.267152</v>
      </c>
      <c r="N28" s="3">
        <f t="shared" si="13"/>
        <v>34623.20582</v>
      </c>
      <c r="O28" s="2">
        <f t="shared" si="14"/>
        <v>0.02308213721</v>
      </c>
      <c r="P28" s="3"/>
      <c r="Q28" s="3">
        <f t="shared" si="15"/>
        <v>593801.7635</v>
      </c>
      <c r="R28" s="2">
        <f t="shared" si="16"/>
        <v>0.3958678423</v>
      </c>
      <c r="S28" s="12">
        <f t="shared" si="17"/>
        <v>0.02328634366</v>
      </c>
      <c r="U28" s="3">
        <f t="shared" si="18"/>
        <v>593801.7635</v>
      </c>
      <c r="V28" s="3">
        <f t="shared" si="19"/>
        <v>1020905.398</v>
      </c>
      <c r="W28" s="2">
        <f t="shared" si="20"/>
        <v>0.5816422996</v>
      </c>
      <c r="X28" s="12">
        <f t="shared" si="21"/>
        <v>0.03421425292</v>
      </c>
      <c r="Y28" s="13">
        <f t="shared" si="22"/>
        <v>296900.8817</v>
      </c>
      <c r="Z28" s="13">
        <f t="shared" si="23"/>
        <v>430603.5987</v>
      </c>
      <c r="AA28" s="12">
        <f t="shared" si="24"/>
        <v>0.6894993042</v>
      </c>
      <c r="AB28" s="12">
        <f t="shared" si="25"/>
        <v>0.0405587826</v>
      </c>
      <c r="AC28" s="13">
        <f t="shared" si="26"/>
        <v>296900.8817</v>
      </c>
      <c r="AD28" s="13">
        <f t="shared" si="27"/>
        <v>590301.7994</v>
      </c>
      <c r="AE28" s="12">
        <f t="shared" si="28"/>
        <v>0.5029645548</v>
      </c>
      <c r="AF28" s="12">
        <f t="shared" si="29"/>
        <v>0.02958615028</v>
      </c>
      <c r="AH28" s="3">
        <f t="shared" si="59"/>
        <v>509041.6185</v>
      </c>
      <c r="AI28" s="4">
        <f t="shared" si="60"/>
        <v>3556.088089</v>
      </c>
      <c r="AJ28" s="3">
        <f t="shared" si="30"/>
        <v>1060.503372</v>
      </c>
      <c r="AK28" s="3">
        <f t="shared" si="31"/>
        <v>2495.584717</v>
      </c>
      <c r="AL28" s="3">
        <f t="shared" si="32"/>
        <v>479094.6019</v>
      </c>
      <c r="AN28" s="3">
        <f t="shared" si="61"/>
        <v>990958.3815</v>
      </c>
      <c r="AO28" s="3">
        <f t="shared" si="33"/>
        <v>1060.503372</v>
      </c>
      <c r="AP28" s="3">
        <f t="shared" si="34"/>
        <v>12726.04046</v>
      </c>
      <c r="AQ28" s="3">
        <f t="shared" si="35"/>
        <v>2495.584717</v>
      </c>
      <c r="AR28" s="3">
        <f t="shared" si="36"/>
        <v>29947.01661</v>
      </c>
      <c r="AS28" s="3">
        <f t="shared" si="37"/>
        <v>1020905.398</v>
      </c>
      <c r="AT28" s="3">
        <f t="shared" si="62"/>
        <v>410638.921</v>
      </c>
      <c r="AU28" s="3">
        <f t="shared" si="38"/>
        <v>19964.67774</v>
      </c>
      <c r="AV28" s="3">
        <f t="shared" si="39"/>
        <v>430603.5987</v>
      </c>
      <c r="AW28" s="3">
        <f t="shared" si="63"/>
        <v>580319.4605</v>
      </c>
      <c r="AX28" s="3">
        <f t="shared" si="40"/>
        <v>9982.33887</v>
      </c>
      <c r="AY28" s="3">
        <f t="shared" si="41"/>
        <v>590301.7994</v>
      </c>
      <c r="AZ28" s="3">
        <f t="shared" si="42"/>
        <v>1020905.398</v>
      </c>
      <c r="BA28" s="3"/>
      <c r="BB28" s="4">
        <f t="shared" si="43"/>
        <v>4690.31458</v>
      </c>
      <c r="BC28" s="4">
        <f t="shared" si="44"/>
        <v>3556.088089</v>
      </c>
      <c r="BD28" s="4">
        <f t="shared" ref="BD28:BE28" si="93">K28</f>
        <v>195.4297742</v>
      </c>
      <c r="BE28" s="4">
        <f t="shared" si="93"/>
        <v>549.114282</v>
      </c>
      <c r="BF28" s="4">
        <f t="shared" si="46"/>
        <v>389.6824341</v>
      </c>
      <c r="BG28" s="4">
        <f t="shared" ref="BG28:BH28" si="94">BG27</f>
        <v>1185.362696</v>
      </c>
      <c r="BH28" s="4">
        <f t="shared" si="94"/>
        <v>2370.725393</v>
      </c>
      <c r="BI28" s="1">
        <f t="shared" si="66"/>
        <v>1564</v>
      </c>
      <c r="BJ28" s="4">
        <f t="shared" si="48"/>
        <v>806.7253929</v>
      </c>
    </row>
    <row r="29" ht="15.75" customHeight="1">
      <c r="B29" s="1">
        <f t="shared" si="55"/>
        <v>18</v>
      </c>
      <c r="C29" s="1">
        <f t="shared" si="6"/>
        <v>43</v>
      </c>
      <c r="D29" s="3">
        <f t="shared" si="56"/>
        <v>2100362.129</v>
      </c>
      <c r="E29" s="2">
        <f t="shared" si="7"/>
        <v>1.400241419</v>
      </c>
      <c r="F29" s="3">
        <f t="shared" si="8"/>
        <v>600362.1288</v>
      </c>
      <c r="G29" s="2">
        <f t="shared" si="9"/>
        <v>0.4002414192</v>
      </c>
      <c r="I29" s="3">
        <f t="shared" si="57"/>
        <v>4737.217725</v>
      </c>
      <c r="J29" s="3">
        <f t="shared" si="10"/>
        <v>998.1137539</v>
      </c>
      <c r="K29" s="4">
        <f t="shared" si="11"/>
        <v>197.3840719</v>
      </c>
      <c r="L29" s="3">
        <f t="shared" si="58"/>
        <v>560.0965677</v>
      </c>
      <c r="M29" s="3">
        <f t="shared" si="12"/>
        <v>2981.623332</v>
      </c>
      <c r="N29" s="3">
        <f t="shared" si="13"/>
        <v>35779.47998</v>
      </c>
      <c r="O29" s="2">
        <f t="shared" si="14"/>
        <v>0.02385298666</v>
      </c>
      <c r="P29" s="3"/>
      <c r="Q29" s="3">
        <f t="shared" si="15"/>
        <v>636141.6088</v>
      </c>
      <c r="R29" s="2">
        <f t="shared" si="16"/>
        <v>0.4240944058</v>
      </c>
      <c r="S29" s="12">
        <f t="shared" si="17"/>
        <v>0.02356080032</v>
      </c>
      <c r="U29" s="3">
        <f t="shared" si="18"/>
        <v>636141.6088</v>
      </c>
      <c r="V29" s="3">
        <f t="shared" si="19"/>
        <v>1051601.09</v>
      </c>
      <c r="W29" s="2">
        <f t="shared" si="20"/>
        <v>0.6049267301</v>
      </c>
      <c r="X29" s="12">
        <f t="shared" si="21"/>
        <v>0.03360704056</v>
      </c>
      <c r="Y29" s="13">
        <f t="shared" si="22"/>
        <v>318070.8044</v>
      </c>
      <c r="Z29" s="13">
        <f t="shared" si="23"/>
        <v>451067.3934</v>
      </c>
      <c r="AA29" s="12">
        <f t="shared" si="24"/>
        <v>0.7051514009</v>
      </c>
      <c r="AB29" s="12">
        <f t="shared" si="25"/>
        <v>0.03917507783</v>
      </c>
      <c r="AC29" s="13">
        <f t="shared" si="26"/>
        <v>318070.8044</v>
      </c>
      <c r="AD29" s="13">
        <f t="shared" si="27"/>
        <v>600533.6967</v>
      </c>
      <c r="AE29" s="12">
        <f t="shared" si="28"/>
        <v>0.5296468893</v>
      </c>
      <c r="AF29" s="12">
        <f t="shared" si="29"/>
        <v>0.02942482718</v>
      </c>
      <c r="AH29" s="3">
        <f t="shared" si="59"/>
        <v>479094.6019</v>
      </c>
      <c r="AI29" s="4">
        <f t="shared" si="60"/>
        <v>3556.088089</v>
      </c>
      <c r="AJ29" s="3">
        <f t="shared" si="30"/>
        <v>998.1137539</v>
      </c>
      <c r="AK29" s="3">
        <f t="shared" si="31"/>
        <v>2557.974335</v>
      </c>
      <c r="AL29" s="3">
        <f t="shared" si="32"/>
        <v>448398.9099</v>
      </c>
      <c r="AN29" s="3">
        <f t="shared" si="61"/>
        <v>1020905.398</v>
      </c>
      <c r="AO29" s="3">
        <f t="shared" si="33"/>
        <v>998.1137539</v>
      </c>
      <c r="AP29" s="3">
        <f t="shared" si="34"/>
        <v>11977.36505</v>
      </c>
      <c r="AQ29" s="3">
        <f t="shared" si="35"/>
        <v>2557.974335</v>
      </c>
      <c r="AR29" s="3">
        <f t="shared" si="36"/>
        <v>30695.69202</v>
      </c>
      <c r="AS29" s="3">
        <f t="shared" si="37"/>
        <v>1051601.09</v>
      </c>
      <c r="AT29" s="3">
        <f t="shared" si="62"/>
        <v>430603.5987</v>
      </c>
      <c r="AU29" s="3">
        <f t="shared" si="38"/>
        <v>20463.79468</v>
      </c>
      <c r="AV29" s="3">
        <f t="shared" si="39"/>
        <v>451067.3934</v>
      </c>
      <c r="AW29" s="3">
        <f t="shared" si="63"/>
        <v>590301.7994</v>
      </c>
      <c r="AX29" s="3">
        <f t="shared" si="40"/>
        <v>10231.89734</v>
      </c>
      <c r="AY29" s="3">
        <f t="shared" si="41"/>
        <v>600533.6967</v>
      </c>
      <c r="AZ29" s="3">
        <f t="shared" si="42"/>
        <v>1051601.09</v>
      </c>
      <c r="BA29" s="3"/>
      <c r="BB29" s="4">
        <f t="shared" si="43"/>
        <v>4737.217725</v>
      </c>
      <c r="BC29" s="4">
        <f t="shared" si="44"/>
        <v>3556.088089</v>
      </c>
      <c r="BD29" s="4">
        <f t="shared" ref="BD29:BE29" si="95">K29</f>
        <v>197.3840719</v>
      </c>
      <c r="BE29" s="4">
        <f t="shared" si="95"/>
        <v>560.0965677</v>
      </c>
      <c r="BF29" s="4">
        <f t="shared" si="46"/>
        <v>423.6489966</v>
      </c>
      <c r="BG29" s="4">
        <f t="shared" ref="BG29:BH29" si="96">BG28</f>
        <v>1185.362696</v>
      </c>
      <c r="BH29" s="4">
        <f t="shared" si="96"/>
        <v>2370.725393</v>
      </c>
      <c r="BI29" s="1">
        <f t="shared" si="66"/>
        <v>1564</v>
      </c>
      <c r="BJ29" s="4">
        <f t="shared" si="48"/>
        <v>806.7253929</v>
      </c>
    </row>
    <row r="30" ht="15.75" customHeight="1">
      <c r="B30" s="1">
        <f t="shared" si="55"/>
        <v>19</v>
      </c>
      <c r="C30" s="1">
        <f t="shared" si="6"/>
        <v>44</v>
      </c>
      <c r="D30" s="3">
        <f t="shared" si="56"/>
        <v>2142369.371</v>
      </c>
      <c r="E30" s="2">
        <f t="shared" si="7"/>
        <v>1.428246248</v>
      </c>
      <c r="F30" s="3">
        <f t="shared" si="8"/>
        <v>642369.3714</v>
      </c>
      <c r="G30" s="2">
        <f t="shared" si="9"/>
        <v>0.4282462476</v>
      </c>
      <c r="I30" s="3">
        <f t="shared" si="57"/>
        <v>4784.589903</v>
      </c>
      <c r="J30" s="3">
        <f t="shared" si="10"/>
        <v>934.1643956</v>
      </c>
      <c r="K30" s="4">
        <f t="shared" si="11"/>
        <v>199.3579126</v>
      </c>
      <c r="L30" s="3">
        <f t="shared" si="58"/>
        <v>571.298499</v>
      </c>
      <c r="M30" s="3">
        <f t="shared" si="12"/>
        <v>3079.769096</v>
      </c>
      <c r="N30" s="3">
        <f t="shared" si="13"/>
        <v>36957.22915</v>
      </c>
      <c r="O30" s="2">
        <f t="shared" si="14"/>
        <v>0.02463815276</v>
      </c>
      <c r="P30" s="3"/>
      <c r="Q30" s="3">
        <f t="shared" si="15"/>
        <v>679326.6005</v>
      </c>
      <c r="R30" s="2">
        <f t="shared" si="16"/>
        <v>0.4528844003</v>
      </c>
      <c r="S30" s="12">
        <f t="shared" si="17"/>
        <v>0.02383602107</v>
      </c>
      <c r="U30" s="3">
        <f t="shared" si="18"/>
        <v>679326.6005</v>
      </c>
      <c r="V30" s="3">
        <f t="shared" si="19"/>
        <v>1083064.174</v>
      </c>
      <c r="W30" s="2">
        <f t="shared" si="20"/>
        <v>0.6272265453</v>
      </c>
      <c r="X30" s="12">
        <f t="shared" si="21"/>
        <v>0.03301192344</v>
      </c>
      <c r="Y30" s="13">
        <f t="shared" si="22"/>
        <v>339663.3003</v>
      </c>
      <c r="Z30" s="13">
        <f t="shared" si="23"/>
        <v>472042.783</v>
      </c>
      <c r="AA30" s="12">
        <f t="shared" si="24"/>
        <v>0.7195604138</v>
      </c>
      <c r="AB30" s="12">
        <f t="shared" si="25"/>
        <v>0.03787160073</v>
      </c>
      <c r="AC30" s="13">
        <f t="shared" si="26"/>
        <v>339663.3003</v>
      </c>
      <c r="AD30" s="13">
        <f t="shared" si="27"/>
        <v>611021.3915</v>
      </c>
      <c r="AE30" s="12">
        <f t="shared" si="28"/>
        <v>0.5558942862</v>
      </c>
      <c r="AF30" s="12">
        <f t="shared" si="29"/>
        <v>0.02925759401</v>
      </c>
      <c r="AH30" s="3">
        <f t="shared" si="59"/>
        <v>448398.9099</v>
      </c>
      <c r="AI30" s="4">
        <f t="shared" si="60"/>
        <v>3556.088089</v>
      </c>
      <c r="AJ30" s="3">
        <f t="shared" si="30"/>
        <v>934.1643956</v>
      </c>
      <c r="AK30" s="3">
        <f t="shared" si="31"/>
        <v>2621.923694</v>
      </c>
      <c r="AL30" s="3">
        <f t="shared" si="32"/>
        <v>416935.8255</v>
      </c>
      <c r="AN30" s="3">
        <f t="shared" si="61"/>
        <v>1051601.09</v>
      </c>
      <c r="AO30" s="3">
        <f t="shared" si="33"/>
        <v>934.1643956</v>
      </c>
      <c r="AP30" s="3">
        <f t="shared" si="34"/>
        <v>11209.97275</v>
      </c>
      <c r="AQ30" s="3">
        <f t="shared" si="35"/>
        <v>2621.923694</v>
      </c>
      <c r="AR30" s="3">
        <f t="shared" si="36"/>
        <v>31463.08433</v>
      </c>
      <c r="AS30" s="3">
        <f t="shared" si="37"/>
        <v>1083064.174</v>
      </c>
      <c r="AT30" s="3">
        <f t="shared" si="62"/>
        <v>451067.3934</v>
      </c>
      <c r="AU30" s="3">
        <f t="shared" si="38"/>
        <v>20975.38955</v>
      </c>
      <c r="AV30" s="3">
        <f t="shared" si="39"/>
        <v>472042.783</v>
      </c>
      <c r="AW30" s="3">
        <f t="shared" si="63"/>
        <v>600533.6967</v>
      </c>
      <c r="AX30" s="3">
        <f t="shared" si="40"/>
        <v>10487.69478</v>
      </c>
      <c r="AY30" s="3">
        <f t="shared" si="41"/>
        <v>611021.3915</v>
      </c>
      <c r="AZ30" s="3">
        <f t="shared" si="42"/>
        <v>1083064.174</v>
      </c>
      <c r="BA30" s="3"/>
      <c r="BB30" s="4">
        <f t="shared" si="43"/>
        <v>4784.589903</v>
      </c>
      <c r="BC30" s="4">
        <f t="shared" si="44"/>
        <v>3556.088089</v>
      </c>
      <c r="BD30" s="4">
        <f t="shared" ref="BD30:BE30" si="97">K30</f>
        <v>199.3579126</v>
      </c>
      <c r="BE30" s="4">
        <f t="shared" si="97"/>
        <v>571.298499</v>
      </c>
      <c r="BF30" s="4">
        <f t="shared" si="46"/>
        <v>457.8454017</v>
      </c>
      <c r="BG30" s="4">
        <f t="shared" ref="BG30:BH30" si="98">BG29</f>
        <v>1185.362696</v>
      </c>
      <c r="BH30" s="4">
        <f t="shared" si="98"/>
        <v>2370.725393</v>
      </c>
      <c r="BI30" s="1">
        <f t="shared" si="66"/>
        <v>1564</v>
      </c>
      <c r="BJ30" s="4">
        <f t="shared" si="48"/>
        <v>806.7253929</v>
      </c>
    </row>
    <row r="31" ht="15.75" customHeight="1">
      <c r="B31" s="1">
        <f t="shared" si="55"/>
        <v>20</v>
      </c>
      <c r="C31" s="1">
        <f t="shared" si="6"/>
        <v>45</v>
      </c>
      <c r="D31" s="3">
        <f t="shared" si="56"/>
        <v>2185216.759</v>
      </c>
      <c r="E31" s="2">
        <f t="shared" si="7"/>
        <v>1.456811173</v>
      </c>
      <c r="F31" s="3">
        <f t="shared" si="8"/>
        <v>685216.7588</v>
      </c>
      <c r="G31" s="2">
        <f t="shared" si="9"/>
        <v>0.4568111725</v>
      </c>
      <c r="I31" s="3">
        <f t="shared" si="57"/>
        <v>4832.435802</v>
      </c>
      <c r="J31" s="3">
        <f t="shared" si="10"/>
        <v>868.6163032</v>
      </c>
      <c r="K31" s="4">
        <f t="shared" si="11"/>
        <v>201.3514917</v>
      </c>
      <c r="L31" s="3">
        <f t="shared" si="58"/>
        <v>582.724469</v>
      </c>
      <c r="M31" s="3">
        <f t="shared" si="12"/>
        <v>3179.743538</v>
      </c>
      <c r="N31" s="3">
        <f t="shared" si="13"/>
        <v>38156.92245</v>
      </c>
      <c r="O31" s="2">
        <f t="shared" si="14"/>
        <v>0.0254379483</v>
      </c>
      <c r="P31" s="3"/>
      <c r="Q31" s="3">
        <f t="shared" si="15"/>
        <v>723373.6812</v>
      </c>
      <c r="R31" s="2">
        <f t="shared" si="16"/>
        <v>0.4822491208</v>
      </c>
      <c r="S31" s="12">
        <f t="shared" si="17"/>
        <v>0.02411245604</v>
      </c>
      <c r="U31" s="3">
        <f t="shared" si="18"/>
        <v>723373.6812</v>
      </c>
      <c r="V31" s="3">
        <f t="shared" si="19"/>
        <v>1115313.836</v>
      </c>
      <c r="W31" s="2">
        <f t="shared" si="20"/>
        <v>0.6485830786</v>
      </c>
      <c r="X31" s="12">
        <f t="shared" si="21"/>
        <v>0.03242915393</v>
      </c>
      <c r="Y31" s="13">
        <f t="shared" si="22"/>
        <v>361686.8406</v>
      </c>
      <c r="Z31" s="13">
        <f t="shared" si="23"/>
        <v>493542.5573</v>
      </c>
      <c r="AA31" s="12">
        <f t="shared" si="24"/>
        <v>0.7328382027</v>
      </c>
      <c r="AB31" s="12">
        <f t="shared" si="25"/>
        <v>0.03664191014</v>
      </c>
      <c r="AC31" s="13">
        <f t="shared" si="26"/>
        <v>361686.8406</v>
      </c>
      <c r="AD31" s="13">
        <f t="shared" si="27"/>
        <v>621771.2786</v>
      </c>
      <c r="AE31" s="12">
        <f t="shared" si="28"/>
        <v>0.5817040012</v>
      </c>
      <c r="AF31" s="12">
        <f t="shared" si="29"/>
        <v>0.02908520006</v>
      </c>
      <c r="AH31" s="3">
        <f t="shared" si="59"/>
        <v>416935.8255</v>
      </c>
      <c r="AI31" s="4">
        <f t="shared" si="60"/>
        <v>3556.088089</v>
      </c>
      <c r="AJ31" s="3">
        <f t="shared" si="30"/>
        <v>868.6163032</v>
      </c>
      <c r="AK31" s="3">
        <f t="shared" si="31"/>
        <v>2687.471786</v>
      </c>
      <c r="AL31" s="3">
        <f t="shared" si="32"/>
        <v>384686.1641</v>
      </c>
      <c r="AN31" s="3">
        <f t="shared" si="61"/>
        <v>1083064.174</v>
      </c>
      <c r="AO31" s="3">
        <f t="shared" si="33"/>
        <v>868.6163032</v>
      </c>
      <c r="AP31" s="3">
        <f t="shared" si="34"/>
        <v>10423.39564</v>
      </c>
      <c r="AQ31" s="3">
        <f t="shared" si="35"/>
        <v>2687.471786</v>
      </c>
      <c r="AR31" s="3">
        <f t="shared" si="36"/>
        <v>32249.66143</v>
      </c>
      <c r="AS31" s="3">
        <f t="shared" si="37"/>
        <v>1115313.836</v>
      </c>
      <c r="AT31" s="3">
        <f t="shared" si="62"/>
        <v>472042.783</v>
      </c>
      <c r="AU31" s="3">
        <f t="shared" si="38"/>
        <v>21499.77429</v>
      </c>
      <c r="AV31" s="3">
        <f t="shared" si="39"/>
        <v>493542.5573</v>
      </c>
      <c r="AW31" s="3">
        <f t="shared" si="63"/>
        <v>611021.3915</v>
      </c>
      <c r="AX31" s="3">
        <f t="shared" si="40"/>
        <v>10749.88714</v>
      </c>
      <c r="AY31" s="3">
        <f t="shared" si="41"/>
        <v>621771.2786</v>
      </c>
      <c r="AZ31" s="3">
        <f t="shared" si="42"/>
        <v>1115313.836</v>
      </c>
      <c r="BA31" s="3"/>
      <c r="BB31" s="4">
        <f t="shared" si="43"/>
        <v>4832.435802</v>
      </c>
      <c r="BC31" s="4">
        <f t="shared" si="44"/>
        <v>3556.088089</v>
      </c>
      <c r="BD31" s="4">
        <f t="shared" ref="BD31:BE31" si="99">K31</f>
        <v>201.3514917</v>
      </c>
      <c r="BE31" s="4">
        <f t="shared" si="99"/>
        <v>582.724469</v>
      </c>
      <c r="BF31" s="4">
        <f t="shared" si="46"/>
        <v>492.2717517</v>
      </c>
      <c r="BG31" s="4">
        <f t="shared" ref="BG31:BH31" si="100">BG30</f>
        <v>1185.362696</v>
      </c>
      <c r="BH31" s="4">
        <f t="shared" si="100"/>
        <v>2370.725393</v>
      </c>
      <c r="BI31" s="1">
        <f t="shared" si="66"/>
        <v>1564</v>
      </c>
      <c r="BJ31" s="4">
        <f t="shared" si="48"/>
        <v>806.7253929</v>
      </c>
    </row>
    <row r="32" ht="15.75" customHeight="1">
      <c r="B32" s="1">
        <f t="shared" si="55"/>
        <v>21</v>
      </c>
      <c r="C32" s="1">
        <f t="shared" si="6"/>
        <v>46</v>
      </c>
      <c r="D32" s="3">
        <f t="shared" si="56"/>
        <v>2228921.094</v>
      </c>
      <c r="E32" s="2">
        <f t="shared" si="7"/>
        <v>1.485947396</v>
      </c>
      <c r="F32" s="3">
        <f t="shared" si="8"/>
        <v>728921.094</v>
      </c>
      <c r="G32" s="2">
        <f t="shared" si="9"/>
        <v>0.485947396</v>
      </c>
      <c r="I32" s="3">
        <f t="shared" si="57"/>
        <v>4880.76016</v>
      </c>
      <c r="J32" s="3">
        <f t="shared" si="10"/>
        <v>801.4295086</v>
      </c>
      <c r="K32" s="4">
        <f t="shared" si="11"/>
        <v>203.3650067</v>
      </c>
      <c r="L32" s="3">
        <f t="shared" si="58"/>
        <v>594.3789584</v>
      </c>
      <c r="M32" s="3">
        <f t="shared" si="12"/>
        <v>3281.586686</v>
      </c>
      <c r="N32" s="3">
        <f t="shared" si="13"/>
        <v>39379.04023</v>
      </c>
      <c r="O32" s="2">
        <f t="shared" si="14"/>
        <v>0.02625269349</v>
      </c>
      <c r="P32" s="3"/>
      <c r="Q32" s="3">
        <f t="shared" si="15"/>
        <v>768300.1342</v>
      </c>
      <c r="R32" s="2">
        <f t="shared" si="16"/>
        <v>0.5122000895</v>
      </c>
      <c r="S32" s="12">
        <f t="shared" si="17"/>
        <v>0.02439048045</v>
      </c>
      <c r="U32" s="3">
        <f t="shared" si="18"/>
        <v>768300.1342</v>
      </c>
      <c r="V32" s="3">
        <f t="shared" si="19"/>
        <v>1148369.739</v>
      </c>
      <c r="W32" s="2">
        <f t="shared" si="20"/>
        <v>0.6690355103</v>
      </c>
      <c r="X32" s="12">
        <f t="shared" si="21"/>
        <v>0.03185883382</v>
      </c>
      <c r="Y32" s="13">
        <f t="shared" si="22"/>
        <v>384150.0671</v>
      </c>
      <c r="Z32" s="13">
        <f t="shared" si="23"/>
        <v>515579.8259</v>
      </c>
      <c r="AA32" s="12">
        <f t="shared" si="24"/>
        <v>0.745083589</v>
      </c>
      <c r="AB32" s="12">
        <f t="shared" si="25"/>
        <v>0.0354801709</v>
      </c>
      <c r="AC32" s="13">
        <f t="shared" si="26"/>
        <v>384150.0671</v>
      </c>
      <c r="AD32" s="13">
        <f t="shared" si="27"/>
        <v>632789.913</v>
      </c>
      <c r="AE32" s="12">
        <f t="shared" si="28"/>
        <v>0.6070736262</v>
      </c>
      <c r="AF32" s="12">
        <f t="shared" si="29"/>
        <v>0.02890826792</v>
      </c>
      <c r="AH32" s="3">
        <f t="shared" si="59"/>
        <v>384686.1641</v>
      </c>
      <c r="AI32" s="4">
        <f t="shared" si="60"/>
        <v>3556.088089</v>
      </c>
      <c r="AJ32" s="3">
        <f t="shared" si="30"/>
        <v>801.4295086</v>
      </c>
      <c r="AK32" s="3">
        <f t="shared" si="31"/>
        <v>2754.658581</v>
      </c>
      <c r="AL32" s="3">
        <f t="shared" si="32"/>
        <v>351630.2611</v>
      </c>
      <c r="AN32" s="3">
        <f t="shared" si="61"/>
        <v>1115313.836</v>
      </c>
      <c r="AO32" s="3">
        <f t="shared" si="33"/>
        <v>801.4295086</v>
      </c>
      <c r="AP32" s="3">
        <f t="shared" si="34"/>
        <v>9617.154103</v>
      </c>
      <c r="AQ32" s="3">
        <f t="shared" si="35"/>
        <v>2754.658581</v>
      </c>
      <c r="AR32" s="3">
        <f t="shared" si="36"/>
        <v>33055.90297</v>
      </c>
      <c r="AS32" s="3">
        <f t="shared" si="37"/>
        <v>1148369.739</v>
      </c>
      <c r="AT32" s="3">
        <f t="shared" si="62"/>
        <v>493542.5573</v>
      </c>
      <c r="AU32" s="3">
        <f t="shared" si="38"/>
        <v>22037.26865</v>
      </c>
      <c r="AV32" s="3">
        <f t="shared" si="39"/>
        <v>515579.8259</v>
      </c>
      <c r="AW32" s="3">
        <f t="shared" si="63"/>
        <v>621771.2786</v>
      </c>
      <c r="AX32" s="3">
        <f t="shared" si="40"/>
        <v>11018.63432</v>
      </c>
      <c r="AY32" s="3">
        <f t="shared" si="41"/>
        <v>632789.913</v>
      </c>
      <c r="AZ32" s="3">
        <f t="shared" si="42"/>
        <v>1148369.739</v>
      </c>
      <c r="BA32" s="3"/>
      <c r="BB32" s="4">
        <f t="shared" si="43"/>
        <v>4880.76016</v>
      </c>
      <c r="BC32" s="4">
        <f t="shared" si="44"/>
        <v>3556.088089</v>
      </c>
      <c r="BD32" s="4">
        <f t="shared" ref="BD32:BE32" si="101">K32</f>
        <v>203.3650067</v>
      </c>
      <c r="BE32" s="4">
        <f t="shared" si="101"/>
        <v>594.3789584</v>
      </c>
      <c r="BF32" s="4">
        <f t="shared" si="46"/>
        <v>526.9281054</v>
      </c>
      <c r="BG32" s="4">
        <f t="shared" ref="BG32:BH32" si="102">BG31</f>
        <v>1185.362696</v>
      </c>
      <c r="BH32" s="4">
        <f t="shared" si="102"/>
        <v>2370.725393</v>
      </c>
      <c r="BI32" s="1">
        <f t="shared" si="66"/>
        <v>1564</v>
      </c>
      <c r="BJ32" s="4">
        <f t="shared" si="48"/>
        <v>806.7253929</v>
      </c>
    </row>
    <row r="33" ht="15.75" customHeight="1">
      <c r="B33" s="1">
        <f t="shared" si="55"/>
        <v>22</v>
      </c>
      <c r="C33" s="1">
        <f t="shared" si="6"/>
        <v>47</v>
      </c>
      <c r="D33" s="3">
        <f t="shared" si="56"/>
        <v>2273499.516</v>
      </c>
      <c r="E33" s="2">
        <f t="shared" si="7"/>
        <v>1.515666344</v>
      </c>
      <c r="F33" s="3">
        <f t="shared" si="8"/>
        <v>773499.5158</v>
      </c>
      <c r="G33" s="2">
        <f t="shared" si="9"/>
        <v>0.5156663439</v>
      </c>
      <c r="I33" s="3">
        <f t="shared" si="57"/>
        <v>4929.567761</v>
      </c>
      <c r="J33" s="3">
        <f t="shared" si="10"/>
        <v>732.563044</v>
      </c>
      <c r="K33" s="4">
        <f t="shared" si="11"/>
        <v>205.3986567</v>
      </c>
      <c r="L33" s="3">
        <f t="shared" si="58"/>
        <v>606.2665376</v>
      </c>
      <c r="M33" s="3">
        <f t="shared" si="12"/>
        <v>3385.339523</v>
      </c>
      <c r="N33" s="3">
        <f t="shared" si="13"/>
        <v>40624.07428</v>
      </c>
      <c r="O33" s="2">
        <f t="shared" si="14"/>
        <v>0.02708271618</v>
      </c>
      <c r="P33" s="3"/>
      <c r="Q33" s="3">
        <f t="shared" si="15"/>
        <v>814123.5901</v>
      </c>
      <c r="R33" s="2">
        <f t="shared" si="16"/>
        <v>0.5427490601</v>
      </c>
      <c r="S33" s="12">
        <f t="shared" si="17"/>
        <v>0.02467041182</v>
      </c>
      <c r="U33" s="3">
        <f t="shared" si="18"/>
        <v>814123.5901</v>
      </c>
      <c r="V33" s="3">
        <f t="shared" si="19"/>
        <v>1182252.039</v>
      </c>
      <c r="W33" s="2">
        <f t="shared" si="20"/>
        <v>0.6886210072</v>
      </c>
      <c r="X33" s="12">
        <f t="shared" si="21"/>
        <v>0.03130095487</v>
      </c>
      <c r="Y33" s="13">
        <f t="shared" si="22"/>
        <v>407061.7951</v>
      </c>
      <c r="Z33" s="13">
        <f t="shared" si="23"/>
        <v>538168.0263</v>
      </c>
      <c r="AA33" s="12">
        <f t="shared" si="24"/>
        <v>0.7563842057</v>
      </c>
      <c r="AB33" s="12">
        <f t="shared" si="25"/>
        <v>0.03438110026</v>
      </c>
      <c r="AC33" s="13">
        <f t="shared" si="26"/>
        <v>407061.7951</v>
      </c>
      <c r="AD33" s="13">
        <f t="shared" si="27"/>
        <v>644084.0131</v>
      </c>
      <c r="AE33" s="12">
        <f t="shared" si="28"/>
        <v>0.6320010849</v>
      </c>
      <c r="AF33" s="12">
        <f t="shared" si="29"/>
        <v>0.02872732204</v>
      </c>
      <c r="AH33" s="3">
        <f t="shared" si="59"/>
        <v>351630.2611</v>
      </c>
      <c r="AI33" s="4">
        <f t="shared" si="60"/>
        <v>3556.088089</v>
      </c>
      <c r="AJ33" s="3">
        <f t="shared" si="30"/>
        <v>732.563044</v>
      </c>
      <c r="AK33" s="3">
        <f t="shared" si="31"/>
        <v>2823.525045</v>
      </c>
      <c r="AL33" s="3">
        <f t="shared" si="32"/>
        <v>317747.9606</v>
      </c>
      <c r="AN33" s="3">
        <f t="shared" si="61"/>
        <v>1148369.739</v>
      </c>
      <c r="AO33" s="3">
        <f t="shared" si="33"/>
        <v>732.563044</v>
      </c>
      <c r="AP33" s="3">
        <f t="shared" si="34"/>
        <v>8790.756528</v>
      </c>
      <c r="AQ33" s="3">
        <f t="shared" si="35"/>
        <v>2823.525045</v>
      </c>
      <c r="AR33" s="3">
        <f t="shared" si="36"/>
        <v>33882.30054</v>
      </c>
      <c r="AS33" s="3">
        <f t="shared" si="37"/>
        <v>1182252.039</v>
      </c>
      <c r="AT33" s="3">
        <f t="shared" si="62"/>
        <v>515579.8259</v>
      </c>
      <c r="AU33" s="3">
        <f t="shared" si="38"/>
        <v>22588.20036</v>
      </c>
      <c r="AV33" s="3">
        <f t="shared" si="39"/>
        <v>538168.0263</v>
      </c>
      <c r="AW33" s="3">
        <f t="shared" si="63"/>
        <v>632789.913</v>
      </c>
      <c r="AX33" s="3">
        <f t="shared" si="40"/>
        <v>11294.10018</v>
      </c>
      <c r="AY33" s="3">
        <f t="shared" si="41"/>
        <v>644084.0131</v>
      </c>
      <c r="AZ33" s="3">
        <f t="shared" si="42"/>
        <v>1182252.039</v>
      </c>
      <c r="BA33" s="3"/>
      <c r="BB33" s="4">
        <f t="shared" si="43"/>
        <v>4929.567761</v>
      </c>
      <c r="BC33" s="4">
        <f t="shared" si="44"/>
        <v>3556.088089</v>
      </c>
      <c r="BD33" s="4">
        <f t="shared" ref="BD33:BE33" si="103">K33</f>
        <v>205.3986567</v>
      </c>
      <c r="BE33" s="4">
        <f t="shared" si="103"/>
        <v>606.2665376</v>
      </c>
      <c r="BF33" s="4">
        <f t="shared" si="46"/>
        <v>561.8144777</v>
      </c>
      <c r="BG33" s="4">
        <f t="shared" ref="BG33:BH33" si="104">BG32</f>
        <v>1185.362696</v>
      </c>
      <c r="BH33" s="4">
        <f t="shared" si="104"/>
        <v>2370.725393</v>
      </c>
      <c r="BI33" s="1">
        <f t="shared" si="66"/>
        <v>1564</v>
      </c>
      <c r="BJ33" s="4">
        <f t="shared" si="48"/>
        <v>806.7253929</v>
      </c>
    </row>
    <row r="34" ht="15.75" customHeight="1">
      <c r="B34" s="1">
        <f t="shared" si="55"/>
        <v>23</v>
      </c>
      <c r="C34" s="1">
        <f t="shared" si="6"/>
        <v>48</v>
      </c>
      <c r="D34" s="3">
        <f t="shared" si="56"/>
        <v>2318969.506</v>
      </c>
      <c r="E34" s="2">
        <f t="shared" si="7"/>
        <v>1.545979671</v>
      </c>
      <c r="F34" s="3">
        <f t="shared" si="8"/>
        <v>818969.5062</v>
      </c>
      <c r="G34" s="2">
        <f t="shared" si="9"/>
        <v>0.5459796708</v>
      </c>
      <c r="I34" s="3">
        <f t="shared" si="57"/>
        <v>4978.863439</v>
      </c>
      <c r="J34" s="3">
        <f t="shared" si="10"/>
        <v>661.9749179</v>
      </c>
      <c r="K34" s="4">
        <f t="shared" si="11"/>
        <v>207.4526433</v>
      </c>
      <c r="L34" s="3">
        <f t="shared" si="58"/>
        <v>618.3918683</v>
      </c>
      <c r="M34" s="3">
        <f t="shared" si="12"/>
        <v>3491.044009</v>
      </c>
      <c r="N34" s="3">
        <f t="shared" si="13"/>
        <v>41892.52811</v>
      </c>
      <c r="O34" s="2">
        <f t="shared" si="14"/>
        <v>0.02792835208</v>
      </c>
      <c r="P34" s="3"/>
      <c r="Q34" s="3">
        <f t="shared" si="15"/>
        <v>860862.0343</v>
      </c>
      <c r="R34" s="2">
        <f t="shared" si="16"/>
        <v>0.5739080229</v>
      </c>
      <c r="S34" s="12">
        <f t="shared" si="17"/>
        <v>0.02495252273</v>
      </c>
      <c r="U34" s="3">
        <f t="shared" si="18"/>
        <v>860862.0343</v>
      </c>
      <c r="V34" s="3">
        <f t="shared" si="19"/>
        <v>1216981.397</v>
      </c>
      <c r="W34" s="2">
        <f t="shared" si="20"/>
        <v>0.7073748507</v>
      </c>
      <c r="X34" s="12">
        <f t="shared" si="21"/>
        <v>0.03075542829</v>
      </c>
      <c r="Y34" s="13">
        <f t="shared" si="22"/>
        <v>430431.0171</v>
      </c>
      <c r="Z34" s="13">
        <f t="shared" si="23"/>
        <v>561320.9316</v>
      </c>
      <c r="AA34" s="12">
        <f t="shared" si="24"/>
        <v>0.7668180409</v>
      </c>
      <c r="AB34" s="12">
        <f t="shared" si="25"/>
        <v>0.03333991482</v>
      </c>
      <c r="AC34" s="13">
        <f t="shared" si="26"/>
        <v>430431.0171</v>
      </c>
      <c r="AD34" s="13">
        <f t="shared" si="27"/>
        <v>655660.4658</v>
      </c>
      <c r="AE34" s="12">
        <f t="shared" si="28"/>
        <v>0.6564846282</v>
      </c>
      <c r="AF34" s="12">
        <f t="shared" si="29"/>
        <v>0.02854280992</v>
      </c>
      <c r="AH34" s="3">
        <f t="shared" si="59"/>
        <v>317747.9606</v>
      </c>
      <c r="AI34" s="4">
        <f t="shared" si="60"/>
        <v>3556.088089</v>
      </c>
      <c r="AJ34" s="3">
        <f t="shared" si="30"/>
        <v>661.9749179</v>
      </c>
      <c r="AK34" s="3">
        <f t="shared" si="31"/>
        <v>2894.113171</v>
      </c>
      <c r="AL34" s="3">
        <f t="shared" si="32"/>
        <v>283018.6025</v>
      </c>
      <c r="AN34" s="3">
        <f t="shared" si="61"/>
        <v>1182252.039</v>
      </c>
      <c r="AO34" s="3">
        <f t="shared" si="33"/>
        <v>661.9749179</v>
      </c>
      <c r="AP34" s="3">
        <f t="shared" si="34"/>
        <v>7943.699015</v>
      </c>
      <c r="AQ34" s="3">
        <f t="shared" si="35"/>
        <v>2894.113171</v>
      </c>
      <c r="AR34" s="3">
        <f t="shared" si="36"/>
        <v>34729.35806</v>
      </c>
      <c r="AS34" s="3">
        <f t="shared" si="37"/>
        <v>1216981.397</v>
      </c>
      <c r="AT34" s="3">
        <f t="shared" si="62"/>
        <v>538168.0263</v>
      </c>
      <c r="AU34" s="3">
        <f t="shared" si="38"/>
        <v>23152.90537</v>
      </c>
      <c r="AV34" s="3">
        <f t="shared" si="39"/>
        <v>561320.9316</v>
      </c>
      <c r="AW34" s="3">
        <f t="shared" si="63"/>
        <v>644084.0131</v>
      </c>
      <c r="AX34" s="3">
        <f t="shared" si="40"/>
        <v>11576.45269</v>
      </c>
      <c r="AY34" s="3">
        <f t="shared" si="41"/>
        <v>655660.4658</v>
      </c>
      <c r="AZ34" s="3">
        <f t="shared" si="42"/>
        <v>1216981.397</v>
      </c>
      <c r="BA34" s="3"/>
      <c r="BB34" s="4">
        <f t="shared" si="43"/>
        <v>4978.863439</v>
      </c>
      <c r="BC34" s="4">
        <f t="shared" si="44"/>
        <v>3556.088089</v>
      </c>
      <c r="BD34" s="4">
        <f t="shared" ref="BD34:BE34" si="105">K34</f>
        <v>207.4526433</v>
      </c>
      <c r="BE34" s="4">
        <f t="shared" si="105"/>
        <v>618.3918683</v>
      </c>
      <c r="BF34" s="4">
        <f t="shared" si="46"/>
        <v>596.930838</v>
      </c>
      <c r="BG34" s="4">
        <f t="shared" ref="BG34:BH34" si="106">BG33</f>
        <v>1185.362696</v>
      </c>
      <c r="BH34" s="4">
        <f t="shared" si="106"/>
        <v>2370.725393</v>
      </c>
      <c r="BI34" s="1">
        <f t="shared" si="66"/>
        <v>1564</v>
      </c>
      <c r="BJ34" s="4">
        <f t="shared" si="48"/>
        <v>806.7253929</v>
      </c>
    </row>
    <row r="35" ht="15.75" customHeight="1">
      <c r="B35" s="1">
        <f t="shared" si="55"/>
        <v>24</v>
      </c>
      <c r="C35" s="1">
        <f t="shared" si="6"/>
        <v>49</v>
      </c>
      <c r="D35" s="3">
        <f t="shared" si="56"/>
        <v>2365348.896</v>
      </c>
      <c r="E35" s="2">
        <f t="shared" si="7"/>
        <v>1.576899264</v>
      </c>
      <c r="F35" s="3">
        <f t="shared" si="8"/>
        <v>865348.8963</v>
      </c>
      <c r="G35" s="2">
        <f t="shared" si="9"/>
        <v>0.5768992642</v>
      </c>
      <c r="I35" s="3">
        <f t="shared" si="57"/>
        <v>5028.652073</v>
      </c>
      <c r="J35" s="3">
        <f t="shared" si="10"/>
        <v>589.6220886</v>
      </c>
      <c r="K35" s="4">
        <f t="shared" si="11"/>
        <v>209.5271697</v>
      </c>
      <c r="L35" s="3">
        <f t="shared" si="58"/>
        <v>630.7597057</v>
      </c>
      <c r="M35" s="3">
        <f t="shared" si="12"/>
        <v>3598.743109</v>
      </c>
      <c r="N35" s="3">
        <f t="shared" si="13"/>
        <v>43184.91731</v>
      </c>
      <c r="O35" s="2">
        <f t="shared" si="14"/>
        <v>0.02878994487</v>
      </c>
      <c r="P35" s="3"/>
      <c r="Q35" s="3">
        <f t="shared" si="15"/>
        <v>908533.8136</v>
      </c>
      <c r="R35" s="2">
        <f t="shared" si="16"/>
        <v>0.6056892091</v>
      </c>
      <c r="S35" s="12">
        <f t="shared" si="17"/>
        <v>0.02523705038</v>
      </c>
      <c r="U35" s="3">
        <f t="shared" si="18"/>
        <v>908533.8136</v>
      </c>
      <c r="V35" s="3">
        <f t="shared" si="19"/>
        <v>1252578.989</v>
      </c>
      <c r="W35" s="2">
        <f t="shared" si="20"/>
        <v>0.725330555</v>
      </c>
      <c r="X35" s="12">
        <f t="shared" si="21"/>
        <v>0.03022210646</v>
      </c>
      <c r="Y35" s="13">
        <f t="shared" si="22"/>
        <v>454266.9068</v>
      </c>
      <c r="Z35" s="13">
        <f t="shared" si="23"/>
        <v>585052.6596</v>
      </c>
      <c r="AA35" s="12">
        <f t="shared" si="24"/>
        <v>0.7764547333</v>
      </c>
      <c r="AB35" s="12">
        <f t="shared" si="25"/>
        <v>0.03235228055</v>
      </c>
      <c r="AC35" s="13">
        <f t="shared" si="26"/>
        <v>454266.9068</v>
      </c>
      <c r="AD35" s="13">
        <f t="shared" si="27"/>
        <v>667526.3298</v>
      </c>
      <c r="AE35" s="12">
        <f t="shared" si="28"/>
        <v>0.6805228296</v>
      </c>
      <c r="AF35" s="12">
        <f t="shared" si="29"/>
        <v>0.0283551179</v>
      </c>
      <c r="AH35" s="3">
        <f t="shared" si="59"/>
        <v>283018.6025</v>
      </c>
      <c r="AI35" s="4">
        <f t="shared" si="60"/>
        <v>3556.088089</v>
      </c>
      <c r="AJ35" s="3">
        <f t="shared" si="30"/>
        <v>589.6220886</v>
      </c>
      <c r="AK35" s="3">
        <f t="shared" si="31"/>
        <v>2966.466001</v>
      </c>
      <c r="AL35" s="3">
        <f t="shared" si="32"/>
        <v>247421.0105</v>
      </c>
      <c r="AN35" s="3">
        <f t="shared" si="61"/>
        <v>1216981.397</v>
      </c>
      <c r="AO35" s="3">
        <f t="shared" si="33"/>
        <v>589.6220886</v>
      </c>
      <c r="AP35" s="3">
        <f t="shared" si="34"/>
        <v>7075.465063</v>
      </c>
      <c r="AQ35" s="3">
        <f t="shared" si="35"/>
        <v>2966.466001</v>
      </c>
      <c r="AR35" s="3">
        <f t="shared" si="36"/>
        <v>35597.59201</v>
      </c>
      <c r="AS35" s="3">
        <f t="shared" si="37"/>
        <v>1252578.989</v>
      </c>
      <c r="AT35" s="3">
        <f t="shared" si="62"/>
        <v>561320.9316</v>
      </c>
      <c r="AU35" s="3">
        <f t="shared" si="38"/>
        <v>23731.72801</v>
      </c>
      <c r="AV35" s="3">
        <f t="shared" si="39"/>
        <v>585052.6596</v>
      </c>
      <c r="AW35" s="3">
        <f t="shared" si="63"/>
        <v>655660.4658</v>
      </c>
      <c r="AX35" s="3">
        <f t="shared" si="40"/>
        <v>11865.864</v>
      </c>
      <c r="AY35" s="3">
        <f t="shared" si="41"/>
        <v>667526.3298</v>
      </c>
      <c r="AZ35" s="3">
        <f t="shared" si="42"/>
        <v>1252578.989</v>
      </c>
      <c r="BA35" s="3"/>
      <c r="BB35" s="4">
        <f t="shared" si="43"/>
        <v>5028.652073</v>
      </c>
      <c r="BC35" s="4">
        <f t="shared" si="44"/>
        <v>3556.088089</v>
      </c>
      <c r="BD35" s="4">
        <f t="shared" ref="BD35:BE35" si="107">K35</f>
        <v>209.5271697</v>
      </c>
      <c r="BE35" s="4">
        <f t="shared" si="107"/>
        <v>630.7597057</v>
      </c>
      <c r="BF35" s="4">
        <f t="shared" si="46"/>
        <v>632.2771086</v>
      </c>
      <c r="BG35" s="4">
        <f t="shared" ref="BG35:BH35" si="108">BG34</f>
        <v>1185.362696</v>
      </c>
      <c r="BH35" s="4">
        <f t="shared" si="108"/>
        <v>2370.725393</v>
      </c>
      <c r="BI35" s="1">
        <f t="shared" si="66"/>
        <v>1564</v>
      </c>
      <c r="BJ35" s="4">
        <f t="shared" si="48"/>
        <v>806.7253929</v>
      </c>
    </row>
    <row r="36" ht="15.75" customHeight="1">
      <c r="B36" s="1">
        <f t="shared" si="55"/>
        <v>25</v>
      </c>
      <c r="C36" s="1">
        <f t="shared" si="6"/>
        <v>50</v>
      </c>
      <c r="D36" s="3">
        <f t="shared" si="56"/>
        <v>2412655.874</v>
      </c>
      <c r="E36" s="2">
        <f t="shared" si="7"/>
        <v>1.608437249</v>
      </c>
      <c r="F36" s="3">
        <f t="shared" si="8"/>
        <v>912655.8742</v>
      </c>
      <c r="G36" s="2">
        <f t="shared" si="9"/>
        <v>0.6084372495</v>
      </c>
      <c r="I36" s="3">
        <f t="shared" si="57"/>
        <v>5078.938594</v>
      </c>
      <c r="J36" s="3">
        <f t="shared" si="10"/>
        <v>515.4604386</v>
      </c>
      <c r="K36" s="4">
        <f t="shared" si="11"/>
        <v>211.6224414</v>
      </c>
      <c r="L36" s="3">
        <f t="shared" si="58"/>
        <v>643.3748998</v>
      </c>
      <c r="M36" s="3">
        <f t="shared" si="12"/>
        <v>3708.480814</v>
      </c>
      <c r="N36" s="3">
        <f t="shared" si="13"/>
        <v>44501.76977</v>
      </c>
      <c r="O36" s="2">
        <f t="shared" si="14"/>
        <v>0.02966784651</v>
      </c>
      <c r="P36" s="3"/>
      <c r="Q36" s="3">
        <f t="shared" si="15"/>
        <v>957157.644</v>
      </c>
      <c r="R36" s="2">
        <f t="shared" si="16"/>
        <v>0.638105096</v>
      </c>
      <c r="S36" s="12">
        <f t="shared" si="17"/>
        <v>0.02552420384</v>
      </c>
      <c r="U36" s="3">
        <f t="shared" si="18"/>
        <v>957157.644</v>
      </c>
      <c r="V36" s="3">
        <f t="shared" si="19"/>
        <v>1289066.521</v>
      </c>
      <c r="W36" s="2">
        <f t="shared" si="20"/>
        <v>0.7425199772</v>
      </c>
      <c r="X36" s="12">
        <f t="shared" si="21"/>
        <v>0.02970079909</v>
      </c>
      <c r="Y36" s="13">
        <f t="shared" si="22"/>
        <v>478578.822</v>
      </c>
      <c r="Z36" s="13">
        <f t="shared" si="23"/>
        <v>609377.6809</v>
      </c>
      <c r="AA36" s="12">
        <f t="shared" si="24"/>
        <v>0.7853566631</v>
      </c>
      <c r="AB36" s="12">
        <f t="shared" si="25"/>
        <v>0.03141426652</v>
      </c>
      <c r="AC36" s="13">
        <f t="shared" si="26"/>
        <v>478578.822</v>
      </c>
      <c r="AD36" s="13">
        <f t="shared" si="27"/>
        <v>679688.8404</v>
      </c>
      <c r="AE36" s="12">
        <f t="shared" si="28"/>
        <v>0.7041145794</v>
      </c>
      <c r="AF36" s="12">
        <f t="shared" si="29"/>
        <v>0.02816458318</v>
      </c>
      <c r="AH36" s="3">
        <f t="shared" si="59"/>
        <v>247421.0105</v>
      </c>
      <c r="AI36" s="4">
        <f t="shared" si="60"/>
        <v>3556.088089</v>
      </c>
      <c r="AJ36" s="3">
        <f t="shared" si="30"/>
        <v>515.4604386</v>
      </c>
      <c r="AK36" s="3">
        <f t="shared" si="31"/>
        <v>3040.627651</v>
      </c>
      <c r="AL36" s="3">
        <f t="shared" si="32"/>
        <v>210933.4787</v>
      </c>
      <c r="AN36" s="3">
        <f t="shared" si="61"/>
        <v>1252578.989</v>
      </c>
      <c r="AO36" s="3">
        <f t="shared" si="33"/>
        <v>515.4604386</v>
      </c>
      <c r="AP36" s="3">
        <f t="shared" si="34"/>
        <v>6185.525263</v>
      </c>
      <c r="AQ36" s="3">
        <f t="shared" si="35"/>
        <v>3040.627651</v>
      </c>
      <c r="AR36" s="3">
        <f t="shared" si="36"/>
        <v>36487.53181</v>
      </c>
      <c r="AS36" s="3">
        <f t="shared" si="37"/>
        <v>1289066.521</v>
      </c>
      <c r="AT36" s="3">
        <f t="shared" si="62"/>
        <v>585052.6596</v>
      </c>
      <c r="AU36" s="3">
        <f t="shared" si="38"/>
        <v>24325.02121</v>
      </c>
      <c r="AV36" s="3">
        <f t="shared" si="39"/>
        <v>609377.6809</v>
      </c>
      <c r="AW36" s="3">
        <f t="shared" si="63"/>
        <v>667526.3298</v>
      </c>
      <c r="AX36" s="3">
        <f t="shared" si="40"/>
        <v>12162.5106</v>
      </c>
      <c r="AY36" s="3">
        <f t="shared" si="41"/>
        <v>679688.8404</v>
      </c>
      <c r="AZ36" s="3">
        <f t="shared" si="42"/>
        <v>1289066.521</v>
      </c>
      <c r="BA36" s="3"/>
      <c r="BB36" s="4">
        <f t="shared" si="43"/>
        <v>5078.938594</v>
      </c>
      <c r="BC36" s="4">
        <f t="shared" si="44"/>
        <v>3556.088089</v>
      </c>
      <c r="BD36" s="4">
        <f t="shared" ref="BD36:BE36" si="109">K36</f>
        <v>211.6224414</v>
      </c>
      <c r="BE36" s="4">
        <f t="shared" si="109"/>
        <v>643.3748998</v>
      </c>
      <c r="BF36" s="4">
        <f t="shared" si="46"/>
        <v>667.8531636</v>
      </c>
      <c r="BG36" s="4">
        <f t="shared" ref="BG36:BH36" si="110">BG35</f>
        <v>1185.362696</v>
      </c>
      <c r="BH36" s="4">
        <f t="shared" si="110"/>
        <v>2370.725393</v>
      </c>
      <c r="BI36" s="1">
        <f t="shared" si="66"/>
        <v>1564</v>
      </c>
      <c r="BJ36" s="4">
        <f t="shared" si="48"/>
        <v>806.7253929</v>
      </c>
    </row>
    <row r="37" ht="15.75" customHeight="1">
      <c r="B37" s="1">
        <f t="shared" si="55"/>
        <v>26</v>
      </c>
      <c r="C37" s="1">
        <f t="shared" si="6"/>
        <v>51</v>
      </c>
      <c r="D37" s="3">
        <f t="shared" si="56"/>
        <v>2460908.992</v>
      </c>
      <c r="E37" s="2">
        <f t="shared" si="7"/>
        <v>1.640605994</v>
      </c>
      <c r="F37" s="3">
        <f t="shared" si="8"/>
        <v>960908.9917</v>
      </c>
      <c r="G37" s="2">
        <f t="shared" si="9"/>
        <v>0.6406059945</v>
      </c>
      <c r="I37" s="3">
        <f t="shared" si="57"/>
        <v>5129.72798</v>
      </c>
      <c r="J37" s="3">
        <f t="shared" si="10"/>
        <v>439.4447473</v>
      </c>
      <c r="K37" s="4">
        <f t="shared" si="11"/>
        <v>213.7386658</v>
      </c>
      <c r="L37" s="3">
        <f t="shared" si="58"/>
        <v>656.2423978</v>
      </c>
      <c r="M37" s="3">
        <f t="shared" si="12"/>
        <v>3820.302169</v>
      </c>
      <c r="N37" s="3">
        <f t="shared" si="13"/>
        <v>45843.62603</v>
      </c>
      <c r="O37" s="2">
        <f t="shared" si="14"/>
        <v>0.03056241735</v>
      </c>
      <c r="P37" s="3"/>
      <c r="Q37" s="3">
        <f t="shared" si="15"/>
        <v>1006752.618</v>
      </c>
      <c r="R37" s="2">
        <f t="shared" si="16"/>
        <v>0.6711684118</v>
      </c>
      <c r="S37" s="12">
        <f t="shared" si="17"/>
        <v>0.02581416969</v>
      </c>
      <c r="U37" s="3">
        <f t="shared" si="18"/>
        <v>1006752.618</v>
      </c>
      <c r="V37" s="3">
        <f t="shared" si="19"/>
        <v>1326466.241</v>
      </c>
      <c r="W37" s="2">
        <f t="shared" si="20"/>
        <v>0.7589734185</v>
      </c>
      <c r="X37" s="12">
        <f t="shared" si="21"/>
        <v>0.02919128533</v>
      </c>
      <c r="Y37" s="13">
        <f t="shared" si="22"/>
        <v>503376.3089</v>
      </c>
      <c r="Z37" s="13">
        <f t="shared" si="23"/>
        <v>634310.8276</v>
      </c>
      <c r="AA37" s="12">
        <f t="shared" si="24"/>
        <v>0.7935798775</v>
      </c>
      <c r="AB37" s="12">
        <f t="shared" si="25"/>
        <v>0.03052230298</v>
      </c>
      <c r="AC37" s="13">
        <f t="shared" si="26"/>
        <v>503376.3089</v>
      </c>
      <c r="AD37" s="13">
        <f t="shared" si="27"/>
        <v>692155.4138</v>
      </c>
      <c r="AE37" s="12">
        <f t="shared" si="28"/>
        <v>0.7272590791</v>
      </c>
      <c r="AF37" s="12">
        <f t="shared" si="29"/>
        <v>0.02797150304</v>
      </c>
      <c r="AH37" s="3">
        <f t="shared" si="59"/>
        <v>210933.4787</v>
      </c>
      <c r="AI37" s="4">
        <f t="shared" si="60"/>
        <v>3556.088089</v>
      </c>
      <c r="AJ37" s="3">
        <f t="shared" si="30"/>
        <v>439.4447473</v>
      </c>
      <c r="AK37" s="3">
        <f t="shared" si="31"/>
        <v>3116.643342</v>
      </c>
      <c r="AL37" s="3">
        <f t="shared" si="32"/>
        <v>173533.7586</v>
      </c>
      <c r="AN37" s="3">
        <f t="shared" si="61"/>
        <v>1289066.521</v>
      </c>
      <c r="AO37" s="3">
        <f t="shared" si="33"/>
        <v>439.4447473</v>
      </c>
      <c r="AP37" s="3">
        <f t="shared" si="34"/>
        <v>5273.336968</v>
      </c>
      <c r="AQ37" s="3">
        <f t="shared" si="35"/>
        <v>3116.643342</v>
      </c>
      <c r="AR37" s="3">
        <f t="shared" si="36"/>
        <v>37399.7201</v>
      </c>
      <c r="AS37" s="3">
        <f t="shared" si="37"/>
        <v>1326466.241</v>
      </c>
      <c r="AT37" s="3">
        <f t="shared" si="62"/>
        <v>609377.6809</v>
      </c>
      <c r="AU37" s="3">
        <f t="shared" si="38"/>
        <v>24933.14674</v>
      </c>
      <c r="AV37" s="3">
        <f t="shared" si="39"/>
        <v>634310.8276</v>
      </c>
      <c r="AW37" s="3">
        <f t="shared" si="63"/>
        <v>679688.8404</v>
      </c>
      <c r="AX37" s="3">
        <f t="shared" si="40"/>
        <v>12466.57337</v>
      </c>
      <c r="AY37" s="3">
        <f t="shared" si="41"/>
        <v>692155.4138</v>
      </c>
      <c r="AZ37" s="3">
        <f t="shared" si="42"/>
        <v>1326466.241</v>
      </c>
      <c r="BA37" s="3"/>
      <c r="BB37" s="4">
        <f t="shared" si="43"/>
        <v>5129.72798</v>
      </c>
      <c r="BC37" s="4">
        <f t="shared" si="44"/>
        <v>3556.088089</v>
      </c>
      <c r="BD37" s="4">
        <f t="shared" ref="BD37:BE37" si="111">K37</f>
        <v>213.7386658</v>
      </c>
      <c r="BE37" s="4">
        <f t="shared" si="111"/>
        <v>656.2423978</v>
      </c>
      <c r="BF37" s="4">
        <f t="shared" si="46"/>
        <v>703.6588271</v>
      </c>
      <c r="BG37" s="4">
        <f t="shared" ref="BG37:BH37" si="112">BG36</f>
        <v>1185.362696</v>
      </c>
      <c r="BH37" s="4">
        <f t="shared" si="112"/>
        <v>2370.725393</v>
      </c>
      <c r="BI37" s="1">
        <f t="shared" si="66"/>
        <v>1564</v>
      </c>
      <c r="BJ37" s="4">
        <f t="shared" si="48"/>
        <v>806.7253929</v>
      </c>
    </row>
    <row r="38" ht="15.75" customHeight="1">
      <c r="B38" s="1">
        <f t="shared" si="55"/>
        <v>27</v>
      </c>
      <c r="C38" s="1">
        <f t="shared" si="6"/>
        <v>52</v>
      </c>
      <c r="D38" s="3">
        <f t="shared" si="56"/>
        <v>2510127.172</v>
      </c>
      <c r="E38" s="2">
        <f t="shared" si="7"/>
        <v>1.673418114</v>
      </c>
      <c r="F38" s="3">
        <f t="shared" si="8"/>
        <v>1010127.172</v>
      </c>
      <c r="G38" s="2">
        <f t="shared" si="9"/>
        <v>0.6734181144</v>
      </c>
      <c r="I38" s="3">
        <f t="shared" si="57"/>
        <v>5181.02526</v>
      </c>
      <c r="J38" s="3">
        <f t="shared" si="10"/>
        <v>361.5286638</v>
      </c>
      <c r="K38" s="4">
        <f t="shared" si="11"/>
        <v>215.8760525</v>
      </c>
      <c r="L38" s="3">
        <f t="shared" si="58"/>
        <v>669.3672457</v>
      </c>
      <c r="M38" s="3">
        <f t="shared" si="12"/>
        <v>3934.253298</v>
      </c>
      <c r="N38" s="3">
        <f t="shared" si="13"/>
        <v>47211.03957</v>
      </c>
      <c r="O38" s="2">
        <f t="shared" si="14"/>
        <v>0.03147402638</v>
      </c>
      <c r="P38" s="3"/>
      <c r="Q38" s="3">
        <f t="shared" si="15"/>
        <v>1057338.211</v>
      </c>
      <c r="R38" s="2">
        <f t="shared" si="16"/>
        <v>0.7048921407</v>
      </c>
      <c r="S38" s="12">
        <f t="shared" si="17"/>
        <v>0.02610711632</v>
      </c>
      <c r="U38" s="3">
        <f t="shared" si="18"/>
        <v>1057338.211</v>
      </c>
      <c r="V38" s="3">
        <f t="shared" si="19"/>
        <v>1364800.954</v>
      </c>
      <c r="W38" s="2">
        <f t="shared" si="20"/>
        <v>0.7747197184</v>
      </c>
      <c r="X38" s="12">
        <f t="shared" si="21"/>
        <v>0.0286933229</v>
      </c>
      <c r="Y38" s="13">
        <f t="shared" si="22"/>
        <v>528669.1056</v>
      </c>
      <c r="Z38" s="13">
        <f t="shared" si="23"/>
        <v>659867.303</v>
      </c>
      <c r="AA38" s="12">
        <f t="shared" si="24"/>
        <v>0.8011748774</v>
      </c>
      <c r="AB38" s="12">
        <f t="shared" si="25"/>
        <v>0.02967314361</v>
      </c>
      <c r="AC38" s="13">
        <f t="shared" si="26"/>
        <v>528669.1056</v>
      </c>
      <c r="AD38" s="13">
        <f t="shared" si="27"/>
        <v>704933.6515</v>
      </c>
      <c r="AE38" s="12">
        <f t="shared" si="28"/>
        <v>0.7499558355</v>
      </c>
      <c r="AF38" s="12">
        <f t="shared" si="29"/>
        <v>0.02777614205</v>
      </c>
      <c r="AH38" s="3">
        <f t="shared" si="59"/>
        <v>173533.7586</v>
      </c>
      <c r="AI38" s="4">
        <f t="shared" si="60"/>
        <v>3556.088089</v>
      </c>
      <c r="AJ38" s="3">
        <f t="shared" si="30"/>
        <v>361.5286638</v>
      </c>
      <c r="AK38" s="3">
        <f t="shared" si="31"/>
        <v>3194.559426</v>
      </c>
      <c r="AL38" s="3">
        <f t="shared" si="32"/>
        <v>135199.0455</v>
      </c>
      <c r="AN38" s="3">
        <f t="shared" si="61"/>
        <v>1326466.241</v>
      </c>
      <c r="AO38" s="3">
        <f t="shared" si="33"/>
        <v>361.5286638</v>
      </c>
      <c r="AP38" s="3">
        <f t="shared" si="34"/>
        <v>4338.343965</v>
      </c>
      <c r="AQ38" s="3">
        <f t="shared" si="35"/>
        <v>3194.559426</v>
      </c>
      <c r="AR38" s="3">
        <f t="shared" si="36"/>
        <v>38334.71311</v>
      </c>
      <c r="AS38" s="3">
        <f t="shared" si="37"/>
        <v>1364800.954</v>
      </c>
      <c r="AT38" s="3">
        <f t="shared" si="62"/>
        <v>634310.8276</v>
      </c>
      <c r="AU38" s="3">
        <f t="shared" si="38"/>
        <v>25556.4754</v>
      </c>
      <c r="AV38" s="3">
        <f t="shared" si="39"/>
        <v>659867.303</v>
      </c>
      <c r="AW38" s="3">
        <f t="shared" si="63"/>
        <v>692155.4138</v>
      </c>
      <c r="AX38" s="3">
        <f t="shared" si="40"/>
        <v>12778.2377</v>
      </c>
      <c r="AY38" s="3">
        <f t="shared" si="41"/>
        <v>704933.6515</v>
      </c>
      <c r="AZ38" s="3">
        <f t="shared" si="42"/>
        <v>1364800.954</v>
      </c>
      <c r="BA38" s="3"/>
      <c r="BB38" s="4">
        <f t="shared" si="43"/>
        <v>5181.02526</v>
      </c>
      <c r="BC38" s="4">
        <f t="shared" si="44"/>
        <v>3556.088089</v>
      </c>
      <c r="BD38" s="4">
        <f t="shared" ref="BD38:BE38" si="113">K38</f>
        <v>215.8760525</v>
      </c>
      <c r="BE38" s="4">
        <f t="shared" si="113"/>
        <v>669.3672457</v>
      </c>
      <c r="BF38" s="4">
        <f t="shared" si="46"/>
        <v>739.6938723</v>
      </c>
      <c r="BG38" s="4">
        <f t="shared" ref="BG38:BH38" si="114">BG37</f>
        <v>1185.362696</v>
      </c>
      <c r="BH38" s="4">
        <f t="shared" si="114"/>
        <v>2370.725393</v>
      </c>
      <c r="BI38" s="1">
        <f t="shared" si="66"/>
        <v>1564</v>
      </c>
      <c r="BJ38" s="4">
        <f t="shared" si="48"/>
        <v>806.7253929</v>
      </c>
    </row>
    <row r="39" ht="15.75" customHeight="1">
      <c r="B39" s="1">
        <f t="shared" si="55"/>
        <v>28</v>
      </c>
      <c r="C39" s="1">
        <f t="shared" si="6"/>
        <v>53</v>
      </c>
      <c r="D39" s="3">
        <f t="shared" si="56"/>
        <v>2560329.715</v>
      </c>
      <c r="E39" s="2">
        <f t="shared" si="7"/>
        <v>1.706886477</v>
      </c>
      <c r="F39" s="3">
        <f t="shared" si="8"/>
        <v>1060329.715</v>
      </c>
      <c r="G39" s="2">
        <f t="shared" si="9"/>
        <v>0.7068864766</v>
      </c>
      <c r="I39" s="3">
        <f t="shared" si="57"/>
        <v>5232.835512</v>
      </c>
      <c r="J39" s="3">
        <f t="shared" si="10"/>
        <v>281.6646781</v>
      </c>
      <c r="K39" s="4">
        <f t="shared" si="11"/>
        <v>218.034813</v>
      </c>
      <c r="L39" s="3">
        <f t="shared" si="58"/>
        <v>682.7545907</v>
      </c>
      <c r="M39" s="3">
        <f t="shared" si="12"/>
        <v>4050.381431</v>
      </c>
      <c r="N39" s="3">
        <f t="shared" si="13"/>
        <v>48604.57717</v>
      </c>
      <c r="O39" s="2">
        <f t="shared" si="14"/>
        <v>0.03240305145</v>
      </c>
      <c r="P39" s="3"/>
      <c r="Q39" s="3">
        <f t="shared" si="15"/>
        <v>1108934.292</v>
      </c>
      <c r="R39" s="2">
        <f t="shared" si="16"/>
        <v>0.7392895281</v>
      </c>
      <c r="S39" s="12">
        <f t="shared" si="17"/>
        <v>0.02640319743</v>
      </c>
      <c r="U39" s="3">
        <f t="shared" si="18"/>
        <v>1108934.292</v>
      </c>
      <c r="V39" s="3">
        <f t="shared" si="19"/>
        <v>1404094.035</v>
      </c>
      <c r="W39" s="2">
        <f t="shared" si="20"/>
        <v>0.789786342</v>
      </c>
      <c r="X39" s="12">
        <f t="shared" si="21"/>
        <v>0.02820665507</v>
      </c>
      <c r="Y39" s="13">
        <f t="shared" si="22"/>
        <v>554467.1461</v>
      </c>
      <c r="Z39" s="13">
        <f t="shared" si="23"/>
        <v>686062.6903</v>
      </c>
      <c r="AA39" s="12">
        <f t="shared" si="24"/>
        <v>0.8081872895</v>
      </c>
      <c r="AB39" s="12">
        <f t="shared" si="25"/>
        <v>0.02886383177</v>
      </c>
      <c r="AC39" s="13">
        <f t="shared" si="26"/>
        <v>554467.1461</v>
      </c>
      <c r="AD39" s="13">
        <f t="shared" si="27"/>
        <v>718031.3451</v>
      </c>
      <c r="AE39" s="12">
        <f t="shared" si="28"/>
        <v>0.7722046535</v>
      </c>
      <c r="AF39" s="12">
        <f t="shared" si="29"/>
        <v>0.02757873762</v>
      </c>
      <c r="AH39" s="3">
        <f t="shared" si="59"/>
        <v>135199.0455</v>
      </c>
      <c r="AI39" s="4">
        <f t="shared" si="60"/>
        <v>3556.088089</v>
      </c>
      <c r="AJ39" s="3">
        <f t="shared" si="30"/>
        <v>281.6646781</v>
      </c>
      <c r="AK39" s="3">
        <f t="shared" si="31"/>
        <v>3274.423411</v>
      </c>
      <c r="AL39" s="3">
        <f t="shared" si="32"/>
        <v>95905.96457</v>
      </c>
      <c r="AN39" s="3">
        <f t="shared" si="61"/>
        <v>1364800.954</v>
      </c>
      <c r="AO39" s="3">
        <f t="shared" si="33"/>
        <v>281.6646781</v>
      </c>
      <c r="AP39" s="3">
        <f t="shared" si="34"/>
        <v>3379.976138</v>
      </c>
      <c r="AQ39" s="3">
        <f t="shared" si="35"/>
        <v>3274.423411</v>
      </c>
      <c r="AR39" s="3">
        <f t="shared" si="36"/>
        <v>39293.08093</v>
      </c>
      <c r="AS39" s="3">
        <f t="shared" si="37"/>
        <v>1404094.035</v>
      </c>
      <c r="AT39" s="3">
        <f t="shared" si="62"/>
        <v>659867.303</v>
      </c>
      <c r="AU39" s="3">
        <f t="shared" si="38"/>
        <v>26195.38729</v>
      </c>
      <c r="AV39" s="3">
        <f t="shared" si="39"/>
        <v>686062.6903</v>
      </c>
      <c r="AW39" s="3">
        <f t="shared" si="63"/>
        <v>704933.6515</v>
      </c>
      <c r="AX39" s="3">
        <f t="shared" si="40"/>
        <v>13097.69364</v>
      </c>
      <c r="AY39" s="3">
        <f t="shared" si="41"/>
        <v>718031.3451</v>
      </c>
      <c r="AZ39" s="3">
        <f t="shared" si="42"/>
        <v>1404094.035</v>
      </c>
      <c r="BA39" s="3"/>
      <c r="BB39" s="4">
        <f t="shared" si="43"/>
        <v>5232.835512</v>
      </c>
      <c r="BC39" s="4">
        <f t="shared" si="44"/>
        <v>3556.088089</v>
      </c>
      <c r="BD39" s="4">
        <f t="shared" ref="BD39:BE39" si="115">K39</f>
        <v>218.034813</v>
      </c>
      <c r="BE39" s="4">
        <f t="shared" si="115"/>
        <v>682.7545907</v>
      </c>
      <c r="BF39" s="4">
        <f t="shared" si="46"/>
        <v>775.9580194</v>
      </c>
      <c r="BG39" s="4">
        <f t="shared" ref="BG39:BH39" si="116">BG38</f>
        <v>1185.362696</v>
      </c>
      <c r="BH39" s="4">
        <f t="shared" si="116"/>
        <v>2370.725393</v>
      </c>
      <c r="BI39" s="1">
        <f t="shared" si="66"/>
        <v>1564</v>
      </c>
      <c r="BJ39" s="4">
        <f t="shared" si="48"/>
        <v>806.7253929</v>
      </c>
    </row>
    <row r="40" ht="15.75" customHeight="1">
      <c r="B40" s="1">
        <f t="shared" si="55"/>
        <v>29</v>
      </c>
      <c r="C40" s="1">
        <f t="shared" si="6"/>
        <v>54</v>
      </c>
      <c r="D40" s="3">
        <f t="shared" si="56"/>
        <v>2611536.309</v>
      </c>
      <c r="E40" s="2">
        <f t="shared" si="7"/>
        <v>1.741024206</v>
      </c>
      <c r="F40" s="3">
        <f t="shared" si="8"/>
        <v>1111536.309</v>
      </c>
      <c r="G40" s="2">
        <f t="shared" si="9"/>
        <v>0.7410242062</v>
      </c>
      <c r="I40" s="3">
        <f t="shared" si="57"/>
        <v>5285.163868</v>
      </c>
      <c r="J40" s="3">
        <f t="shared" si="10"/>
        <v>199.8040929</v>
      </c>
      <c r="K40" s="4">
        <f t="shared" si="11"/>
        <v>220.2151611</v>
      </c>
      <c r="L40" s="3">
        <f t="shared" si="58"/>
        <v>696.4096825</v>
      </c>
      <c r="M40" s="3">
        <f t="shared" si="12"/>
        <v>4168.734931</v>
      </c>
      <c r="N40" s="3">
        <f t="shared" si="13"/>
        <v>50024.81917</v>
      </c>
      <c r="O40" s="2">
        <f t="shared" si="14"/>
        <v>0.03334987945</v>
      </c>
      <c r="P40" s="3"/>
      <c r="Q40" s="3">
        <f t="shared" si="15"/>
        <v>1161561.128</v>
      </c>
      <c r="R40" s="2">
        <f t="shared" si="16"/>
        <v>0.7743740856</v>
      </c>
      <c r="S40" s="12">
        <f t="shared" si="17"/>
        <v>0.02670255468</v>
      </c>
      <c r="U40" s="3">
        <f t="shared" si="18"/>
        <v>1161561.128</v>
      </c>
      <c r="V40" s="3">
        <f t="shared" si="19"/>
        <v>1444369.443</v>
      </c>
      <c r="W40" s="2">
        <f t="shared" si="20"/>
        <v>0.8041994614</v>
      </c>
      <c r="X40" s="12">
        <f t="shared" si="21"/>
        <v>0.02773101591</v>
      </c>
      <c r="Y40" s="13">
        <f t="shared" si="22"/>
        <v>580780.5642</v>
      </c>
      <c r="Z40" s="13">
        <f t="shared" si="23"/>
        <v>712912.9623</v>
      </c>
      <c r="AA40" s="12">
        <f t="shared" si="24"/>
        <v>0.8146584435</v>
      </c>
      <c r="AB40" s="12">
        <f t="shared" si="25"/>
        <v>0.02809167047</v>
      </c>
      <c r="AC40" s="13">
        <f t="shared" si="26"/>
        <v>580780.5642</v>
      </c>
      <c r="AD40" s="13">
        <f t="shared" si="27"/>
        <v>731456.4811</v>
      </c>
      <c r="AE40" s="12">
        <f t="shared" si="28"/>
        <v>0.7940056301</v>
      </c>
      <c r="AF40" s="12">
        <f t="shared" si="29"/>
        <v>0.02737950449</v>
      </c>
      <c r="AH40" s="3">
        <f t="shared" si="59"/>
        <v>95905.96457</v>
      </c>
      <c r="AI40" s="4">
        <f t="shared" si="60"/>
        <v>3556.088089</v>
      </c>
      <c r="AJ40" s="3">
        <f t="shared" si="30"/>
        <v>199.8040929</v>
      </c>
      <c r="AK40" s="3">
        <f t="shared" si="31"/>
        <v>3356.283996</v>
      </c>
      <c r="AL40" s="3">
        <f t="shared" si="32"/>
        <v>55630.55662</v>
      </c>
      <c r="AN40" s="3">
        <f t="shared" si="61"/>
        <v>1404094.035</v>
      </c>
      <c r="AO40" s="3">
        <f t="shared" si="33"/>
        <v>199.8040929</v>
      </c>
      <c r="AP40" s="3">
        <f t="shared" si="34"/>
        <v>2397.649114</v>
      </c>
      <c r="AQ40" s="3">
        <f t="shared" si="35"/>
        <v>3356.283996</v>
      </c>
      <c r="AR40" s="3">
        <f t="shared" si="36"/>
        <v>40275.40796</v>
      </c>
      <c r="AS40" s="3">
        <f t="shared" si="37"/>
        <v>1444369.443</v>
      </c>
      <c r="AT40" s="3">
        <f t="shared" si="62"/>
        <v>686062.6903</v>
      </c>
      <c r="AU40" s="3">
        <f t="shared" si="38"/>
        <v>26850.27197</v>
      </c>
      <c r="AV40" s="3">
        <f t="shared" si="39"/>
        <v>712912.9623</v>
      </c>
      <c r="AW40" s="3">
        <f t="shared" si="63"/>
        <v>718031.3451</v>
      </c>
      <c r="AX40" s="3">
        <f t="shared" si="40"/>
        <v>13425.13599</v>
      </c>
      <c r="AY40" s="3">
        <f t="shared" si="41"/>
        <v>731456.4811</v>
      </c>
      <c r="AZ40" s="3">
        <f t="shared" si="42"/>
        <v>1444369.443</v>
      </c>
      <c r="BA40" s="3"/>
      <c r="BB40" s="4">
        <f t="shared" si="43"/>
        <v>5285.163868</v>
      </c>
      <c r="BC40" s="4">
        <f t="shared" si="44"/>
        <v>3556.088089</v>
      </c>
      <c r="BD40" s="4">
        <f t="shared" ref="BD40:BE40" si="117">K40</f>
        <v>220.2151611</v>
      </c>
      <c r="BE40" s="4">
        <f t="shared" si="117"/>
        <v>696.4096825</v>
      </c>
      <c r="BF40" s="4">
        <f t="shared" si="46"/>
        <v>812.4509346</v>
      </c>
      <c r="BG40" s="4">
        <f t="shared" ref="BG40:BH40" si="118">BG39</f>
        <v>1185.362696</v>
      </c>
      <c r="BH40" s="4">
        <f t="shared" si="118"/>
        <v>2370.725393</v>
      </c>
      <c r="BI40" s="1">
        <f t="shared" si="66"/>
        <v>1564</v>
      </c>
      <c r="BJ40" s="4">
        <f t="shared" si="48"/>
        <v>806.7253929</v>
      </c>
    </row>
    <row r="41" ht="15.75" customHeight="1">
      <c r="B41" s="1">
        <f t="shared" si="55"/>
        <v>30</v>
      </c>
      <c r="C41" s="1">
        <f t="shared" si="6"/>
        <v>55</v>
      </c>
      <c r="D41" s="3">
        <f t="shared" si="56"/>
        <v>2663767.035</v>
      </c>
      <c r="E41" s="2">
        <f t="shared" si="7"/>
        <v>1.77584469</v>
      </c>
      <c r="F41" s="3">
        <f t="shared" si="8"/>
        <v>1163767.035</v>
      </c>
      <c r="G41" s="2">
        <f t="shared" si="9"/>
        <v>0.7758446903</v>
      </c>
      <c r="I41" s="3">
        <f t="shared" si="57"/>
        <v>5338.015506</v>
      </c>
      <c r="J41" s="3">
        <f t="shared" si="10"/>
        <v>115.8969929</v>
      </c>
      <c r="K41" s="4">
        <f t="shared" si="11"/>
        <v>222.4173128</v>
      </c>
      <c r="L41" s="3">
        <f t="shared" si="58"/>
        <v>710.3378761</v>
      </c>
      <c r="M41" s="3">
        <f t="shared" si="12"/>
        <v>4289.363324</v>
      </c>
      <c r="N41" s="3">
        <f t="shared" si="13"/>
        <v>51472.35989</v>
      </c>
      <c r="O41" s="2">
        <f t="shared" si="14"/>
        <v>0.0343149066</v>
      </c>
      <c r="P41" s="3"/>
      <c r="Q41" s="3">
        <f t="shared" si="15"/>
        <v>1215239.395</v>
      </c>
      <c r="R41" s="2">
        <f t="shared" si="16"/>
        <v>0.8101595969</v>
      </c>
      <c r="S41" s="12">
        <f t="shared" si="17"/>
        <v>0.0270053199</v>
      </c>
      <c r="U41" s="3">
        <f t="shared" si="18"/>
        <v>1215239.395</v>
      </c>
      <c r="V41" s="3">
        <f t="shared" si="19"/>
        <v>1485651.737</v>
      </c>
      <c r="W41" s="2">
        <f t="shared" si="20"/>
        <v>0.8179840305</v>
      </c>
      <c r="X41" s="12">
        <f t="shared" si="21"/>
        <v>0.02726613435</v>
      </c>
      <c r="Y41" s="13">
        <f t="shared" si="22"/>
        <v>607619.6977</v>
      </c>
      <c r="Z41" s="13">
        <f t="shared" si="23"/>
        <v>740434.491</v>
      </c>
      <c r="AA41" s="12">
        <f t="shared" si="24"/>
        <v>0.820625869</v>
      </c>
      <c r="AB41" s="12">
        <f t="shared" si="25"/>
        <v>0.02735419563</v>
      </c>
      <c r="AC41" s="13">
        <f t="shared" si="26"/>
        <v>607619.6977</v>
      </c>
      <c r="AD41" s="13">
        <f t="shared" si="27"/>
        <v>745217.2455</v>
      </c>
      <c r="AE41" s="12">
        <f t="shared" si="28"/>
        <v>0.8153591471</v>
      </c>
      <c r="AF41" s="12">
        <f t="shared" si="29"/>
        <v>0.02717863824</v>
      </c>
      <c r="AH41" s="3">
        <f t="shared" si="59"/>
        <v>55630.55662</v>
      </c>
      <c r="AI41" s="4">
        <f t="shared" si="60"/>
        <v>3556.088089</v>
      </c>
      <c r="AJ41" s="3">
        <f t="shared" si="30"/>
        <v>115.8969929</v>
      </c>
      <c r="AK41" s="3">
        <f t="shared" si="31"/>
        <v>3440.191096</v>
      </c>
      <c r="AL41" s="3">
        <f t="shared" si="32"/>
        <v>14348.26346</v>
      </c>
      <c r="AN41" s="3">
        <f t="shared" si="61"/>
        <v>1444369.443</v>
      </c>
      <c r="AO41" s="3">
        <f t="shared" si="33"/>
        <v>115.8969929</v>
      </c>
      <c r="AP41" s="3">
        <f t="shared" si="34"/>
        <v>1390.763915</v>
      </c>
      <c r="AQ41" s="3">
        <f t="shared" si="35"/>
        <v>3440.191096</v>
      </c>
      <c r="AR41" s="3">
        <f t="shared" si="36"/>
        <v>41282.29316</v>
      </c>
      <c r="AS41" s="3">
        <f t="shared" si="37"/>
        <v>1485651.737</v>
      </c>
      <c r="AT41" s="3">
        <f t="shared" si="62"/>
        <v>712912.9623</v>
      </c>
      <c r="AU41" s="3">
        <f t="shared" si="38"/>
        <v>27521.52877</v>
      </c>
      <c r="AV41" s="3">
        <f t="shared" si="39"/>
        <v>740434.491</v>
      </c>
      <c r="AW41" s="3">
        <f t="shared" si="63"/>
        <v>731456.4811</v>
      </c>
      <c r="AX41" s="3">
        <f t="shared" si="40"/>
        <v>13760.76439</v>
      </c>
      <c r="AY41" s="3">
        <f t="shared" si="41"/>
        <v>745217.2455</v>
      </c>
      <c r="AZ41" s="3">
        <f t="shared" si="42"/>
        <v>1485651.737</v>
      </c>
      <c r="BA41" s="3"/>
      <c r="BB41" s="4">
        <f t="shared" si="43"/>
        <v>5338.015506</v>
      </c>
      <c r="BC41" s="4">
        <f t="shared" si="44"/>
        <v>3556.088089</v>
      </c>
      <c r="BD41" s="4">
        <f t="shared" ref="BD41:BE41" si="119">K41</f>
        <v>222.4173128</v>
      </c>
      <c r="BE41" s="4">
        <f t="shared" si="119"/>
        <v>710.3378761</v>
      </c>
      <c r="BF41" s="4">
        <f t="shared" si="46"/>
        <v>849.172228</v>
      </c>
      <c r="BG41" s="4">
        <f t="shared" ref="BG41:BH41" si="120">BG40</f>
        <v>1185.362696</v>
      </c>
      <c r="BH41" s="4">
        <f t="shared" si="120"/>
        <v>2370.725393</v>
      </c>
      <c r="BI41" s="1">
        <f t="shared" si="66"/>
        <v>1564</v>
      </c>
      <c r="BJ41" s="4">
        <f t="shared" si="48"/>
        <v>806.7253929</v>
      </c>
    </row>
    <row r="42" ht="15.75" customHeight="1">
      <c r="AP42" s="3">
        <f>SUM(AP12:AP41)</f>
        <v>394539.9756</v>
      </c>
      <c r="AY42" s="3"/>
      <c r="BJ42" s="4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21.14"/>
    <col customWidth="1" min="3" max="3" width="13.14"/>
    <col customWidth="1" min="4" max="4" width="11.86"/>
    <col customWidth="1" min="5" max="5" width="21.29"/>
    <col customWidth="1" min="6" max="8" width="18.57"/>
    <col customWidth="1" min="9" max="26" width="8.71"/>
  </cols>
  <sheetData>
    <row r="1">
      <c r="A1" s="14" t="s">
        <v>52</v>
      </c>
      <c r="B1" s="15">
        <v>900000.0</v>
      </c>
      <c r="C1" s="16"/>
      <c r="D1" s="17"/>
    </row>
    <row r="2">
      <c r="A2" s="14" t="s">
        <v>53</v>
      </c>
      <c r="B2" s="18">
        <v>0.025</v>
      </c>
      <c r="C2" s="16"/>
      <c r="D2" s="17"/>
    </row>
    <row r="3">
      <c r="A3" s="14" t="s">
        <v>54</v>
      </c>
      <c r="B3" s="19">
        <v>30.0</v>
      </c>
      <c r="C3" s="16"/>
      <c r="D3" s="17"/>
    </row>
    <row r="4">
      <c r="A4" s="14" t="s">
        <v>55</v>
      </c>
      <c r="B4" s="20">
        <f>B2/12</f>
        <v>0.002083333333</v>
      </c>
    </row>
    <row r="5">
      <c r="A5" s="14" t="s">
        <v>56</v>
      </c>
      <c r="B5" s="21">
        <f>B3*12</f>
        <v>360</v>
      </c>
    </row>
    <row r="6">
      <c r="A6" s="14" t="s">
        <v>57</v>
      </c>
      <c r="B6" s="22">
        <f>-PMT(B4,B5,B1)</f>
        <v>3556.088089</v>
      </c>
    </row>
    <row r="9">
      <c r="A9" s="23" t="s">
        <v>58</v>
      </c>
      <c r="B9" s="23" t="s">
        <v>59</v>
      </c>
      <c r="C9" s="23" t="s">
        <v>60</v>
      </c>
      <c r="D9" s="23" t="s">
        <v>61</v>
      </c>
      <c r="E9" s="23" t="s">
        <v>57</v>
      </c>
      <c r="F9" s="23" t="s">
        <v>62</v>
      </c>
      <c r="G9" s="23" t="s">
        <v>63</v>
      </c>
    </row>
    <row r="10">
      <c r="A10" s="1">
        <v>1.0</v>
      </c>
      <c r="B10" s="3">
        <f>$B$1</f>
        <v>900000</v>
      </c>
      <c r="C10" s="3">
        <f t="shared" ref="C10:C309" si="1"> B10 * $B$4</f>
        <v>1875</v>
      </c>
      <c r="D10" s="3">
        <f t="shared" ref="D10:D309" si="2"> E10 - C10</f>
        <v>1681.088089</v>
      </c>
      <c r="E10" s="3">
        <f t="shared" ref="E10:E309" si="3">$B$6</f>
        <v>3556.088089</v>
      </c>
      <c r="F10" s="3">
        <v>10000.0</v>
      </c>
      <c r="G10" s="3">
        <f t="shared" ref="G10:G309" si="4"> B10 - D10-F10</f>
        <v>888318.9119</v>
      </c>
    </row>
    <row r="11">
      <c r="A11" s="1">
        <f t="shared" ref="A11:A309" si="5">A10+1</f>
        <v>2</v>
      </c>
      <c r="B11" s="3">
        <f t="shared" ref="B11:B309" si="6">G10</f>
        <v>888318.9119</v>
      </c>
      <c r="C11" s="3">
        <f t="shared" si="1"/>
        <v>1850.6644</v>
      </c>
      <c r="D11" s="3">
        <f t="shared" si="2"/>
        <v>1705.42369</v>
      </c>
      <c r="E11" s="3">
        <f t="shared" si="3"/>
        <v>3556.088089</v>
      </c>
      <c r="F11" s="3"/>
      <c r="G11" s="3">
        <f t="shared" si="4"/>
        <v>886613.4882</v>
      </c>
    </row>
    <row r="12">
      <c r="A12" s="1">
        <f t="shared" si="5"/>
        <v>3</v>
      </c>
      <c r="B12" s="3">
        <f t="shared" si="6"/>
        <v>886613.4882</v>
      </c>
      <c r="C12" s="3">
        <f t="shared" si="1"/>
        <v>1847.111434</v>
      </c>
      <c r="D12" s="3">
        <f t="shared" si="2"/>
        <v>1708.976656</v>
      </c>
      <c r="E12" s="3">
        <f t="shared" si="3"/>
        <v>3556.088089</v>
      </c>
      <c r="F12" s="3"/>
      <c r="G12" s="3">
        <f t="shared" si="4"/>
        <v>884904.5116</v>
      </c>
    </row>
    <row r="13">
      <c r="A13" s="1">
        <f t="shared" si="5"/>
        <v>4</v>
      </c>
      <c r="B13" s="3">
        <f t="shared" si="6"/>
        <v>884904.5116</v>
      </c>
      <c r="C13" s="3">
        <f t="shared" si="1"/>
        <v>1843.551066</v>
      </c>
      <c r="D13" s="3">
        <f t="shared" si="2"/>
        <v>1712.537024</v>
      </c>
      <c r="E13" s="3">
        <f t="shared" si="3"/>
        <v>3556.088089</v>
      </c>
      <c r="F13" s="3"/>
      <c r="G13" s="3">
        <f t="shared" si="4"/>
        <v>883191.9745</v>
      </c>
    </row>
    <row r="14">
      <c r="A14" s="1">
        <f t="shared" si="5"/>
        <v>5</v>
      </c>
      <c r="B14" s="3">
        <f t="shared" si="6"/>
        <v>883191.9745</v>
      </c>
      <c r="C14" s="3">
        <f t="shared" si="1"/>
        <v>1839.98328</v>
      </c>
      <c r="D14" s="3">
        <f t="shared" si="2"/>
        <v>1716.104809</v>
      </c>
      <c r="E14" s="3">
        <f t="shared" si="3"/>
        <v>3556.088089</v>
      </c>
      <c r="F14" s="3"/>
      <c r="G14" s="3">
        <f t="shared" si="4"/>
        <v>881475.8697</v>
      </c>
    </row>
    <row r="15">
      <c r="A15" s="1">
        <f t="shared" si="5"/>
        <v>6</v>
      </c>
      <c r="B15" s="3">
        <f t="shared" si="6"/>
        <v>881475.8697</v>
      </c>
      <c r="C15" s="3">
        <f t="shared" si="1"/>
        <v>1836.408062</v>
      </c>
      <c r="D15" s="3">
        <f t="shared" si="2"/>
        <v>1719.680027</v>
      </c>
      <c r="E15" s="3">
        <f t="shared" si="3"/>
        <v>3556.088089</v>
      </c>
      <c r="F15" s="3"/>
      <c r="G15" s="3">
        <f t="shared" si="4"/>
        <v>879756.1897</v>
      </c>
    </row>
    <row r="16">
      <c r="A16" s="1">
        <f t="shared" si="5"/>
        <v>7</v>
      </c>
      <c r="B16" s="3">
        <f t="shared" si="6"/>
        <v>879756.1897</v>
      </c>
      <c r="C16" s="3">
        <f t="shared" si="1"/>
        <v>1832.825395</v>
      </c>
      <c r="D16" s="3">
        <f t="shared" si="2"/>
        <v>1723.262694</v>
      </c>
      <c r="E16" s="3">
        <f t="shared" si="3"/>
        <v>3556.088089</v>
      </c>
      <c r="F16" s="3"/>
      <c r="G16" s="3">
        <f t="shared" si="4"/>
        <v>878032.927</v>
      </c>
    </row>
    <row r="17">
      <c r="A17" s="1">
        <f t="shared" si="5"/>
        <v>8</v>
      </c>
      <c r="B17" s="3">
        <f t="shared" si="6"/>
        <v>878032.927</v>
      </c>
      <c r="C17" s="3">
        <f t="shared" si="1"/>
        <v>1829.235265</v>
      </c>
      <c r="D17" s="3">
        <f t="shared" si="2"/>
        <v>1726.852825</v>
      </c>
      <c r="E17" s="3">
        <f t="shared" si="3"/>
        <v>3556.088089</v>
      </c>
      <c r="F17" s="3"/>
      <c r="G17" s="3">
        <f t="shared" si="4"/>
        <v>876306.0742</v>
      </c>
    </row>
    <row r="18">
      <c r="A18" s="1">
        <f t="shared" si="5"/>
        <v>9</v>
      </c>
      <c r="B18" s="3">
        <f t="shared" si="6"/>
        <v>876306.0742</v>
      </c>
      <c r="C18" s="3">
        <f t="shared" si="1"/>
        <v>1825.637655</v>
      </c>
      <c r="D18" s="3">
        <f t="shared" si="2"/>
        <v>1730.450435</v>
      </c>
      <c r="E18" s="3">
        <f t="shared" si="3"/>
        <v>3556.088089</v>
      </c>
      <c r="F18" s="3"/>
      <c r="G18" s="3">
        <f t="shared" si="4"/>
        <v>874575.6238</v>
      </c>
    </row>
    <row r="19">
      <c r="A19" s="1">
        <f t="shared" si="5"/>
        <v>10</v>
      </c>
      <c r="B19" s="3">
        <f t="shared" si="6"/>
        <v>874575.6238</v>
      </c>
      <c r="C19" s="3">
        <f t="shared" si="1"/>
        <v>1822.032549</v>
      </c>
      <c r="D19" s="3">
        <f t="shared" si="2"/>
        <v>1734.05554</v>
      </c>
      <c r="E19" s="3">
        <f t="shared" si="3"/>
        <v>3556.088089</v>
      </c>
      <c r="F19" s="3"/>
      <c r="G19" s="3">
        <f t="shared" si="4"/>
        <v>872841.5682</v>
      </c>
    </row>
    <row r="20">
      <c r="A20" s="1">
        <f t="shared" si="5"/>
        <v>11</v>
      </c>
      <c r="B20" s="3">
        <f t="shared" si="6"/>
        <v>872841.5682</v>
      </c>
      <c r="C20" s="3">
        <f t="shared" si="1"/>
        <v>1818.419934</v>
      </c>
      <c r="D20" s="3">
        <f t="shared" si="2"/>
        <v>1737.668156</v>
      </c>
      <c r="E20" s="3">
        <f t="shared" si="3"/>
        <v>3556.088089</v>
      </c>
      <c r="F20" s="3"/>
      <c r="G20" s="3">
        <f t="shared" si="4"/>
        <v>871103.9001</v>
      </c>
      <c r="H20" s="1" t="s">
        <v>64</v>
      </c>
      <c r="I20" s="1" t="s">
        <v>65</v>
      </c>
    </row>
    <row r="21" ht="15.75" customHeight="1">
      <c r="A21" s="1">
        <f t="shared" si="5"/>
        <v>12</v>
      </c>
      <c r="B21" s="3">
        <f t="shared" si="6"/>
        <v>871103.9001</v>
      </c>
      <c r="C21" s="3">
        <f t="shared" si="1"/>
        <v>1814.799792</v>
      </c>
      <c r="D21" s="3">
        <f t="shared" si="2"/>
        <v>1741.288298</v>
      </c>
      <c r="E21" s="3">
        <f t="shared" si="3"/>
        <v>3556.088089</v>
      </c>
      <c r="F21" s="3"/>
      <c r="G21" s="3">
        <f t="shared" si="4"/>
        <v>869362.6118</v>
      </c>
      <c r="H21" s="3">
        <f>SUM(C10:C21)</f>
        <v>22035.66883</v>
      </c>
      <c r="I21" s="24">
        <f>H21/G10</f>
        <v>0.02480603366</v>
      </c>
    </row>
    <row r="22" ht="15.75" customHeight="1">
      <c r="A22" s="1">
        <f t="shared" si="5"/>
        <v>13</v>
      </c>
      <c r="B22" s="3">
        <f t="shared" si="6"/>
        <v>869362.6118</v>
      </c>
      <c r="C22" s="3">
        <f t="shared" si="1"/>
        <v>1811.172108</v>
      </c>
      <c r="D22" s="3">
        <f t="shared" si="2"/>
        <v>1744.915982</v>
      </c>
      <c r="E22" s="3">
        <f t="shared" si="3"/>
        <v>3556.088089</v>
      </c>
      <c r="F22" s="3"/>
      <c r="G22" s="3">
        <f t="shared" si="4"/>
        <v>867617.6958</v>
      </c>
    </row>
    <row r="23" ht="15.75" customHeight="1">
      <c r="A23" s="1">
        <f t="shared" si="5"/>
        <v>14</v>
      </c>
      <c r="B23" s="3">
        <f t="shared" si="6"/>
        <v>867617.6958</v>
      </c>
      <c r="C23" s="3">
        <f t="shared" si="1"/>
        <v>1807.536866</v>
      </c>
      <c r="D23" s="3">
        <f t="shared" si="2"/>
        <v>1748.551223</v>
      </c>
      <c r="E23" s="3">
        <f t="shared" si="3"/>
        <v>3556.088089</v>
      </c>
      <c r="F23" s="3"/>
      <c r="G23" s="3">
        <f t="shared" si="4"/>
        <v>865869.1446</v>
      </c>
    </row>
    <row r="24" ht="15.75" customHeight="1">
      <c r="A24" s="1">
        <f t="shared" si="5"/>
        <v>15</v>
      </c>
      <c r="B24" s="3">
        <f t="shared" si="6"/>
        <v>865869.1446</v>
      </c>
      <c r="C24" s="3">
        <f t="shared" si="1"/>
        <v>1803.894051</v>
      </c>
      <c r="D24" s="3">
        <f t="shared" si="2"/>
        <v>1752.194038</v>
      </c>
      <c r="E24" s="3">
        <f t="shared" si="3"/>
        <v>3556.088089</v>
      </c>
      <c r="F24" s="3"/>
      <c r="G24" s="3">
        <f t="shared" si="4"/>
        <v>864116.9505</v>
      </c>
    </row>
    <row r="25" ht="15.75" customHeight="1">
      <c r="A25" s="1">
        <f t="shared" si="5"/>
        <v>16</v>
      </c>
      <c r="B25" s="3">
        <f t="shared" si="6"/>
        <v>864116.9505</v>
      </c>
      <c r="C25" s="3">
        <f t="shared" si="1"/>
        <v>1800.243647</v>
      </c>
      <c r="D25" s="3">
        <f t="shared" si="2"/>
        <v>1755.844442</v>
      </c>
      <c r="E25" s="3">
        <f t="shared" si="3"/>
        <v>3556.088089</v>
      </c>
      <c r="F25" s="3"/>
      <c r="G25" s="3">
        <f t="shared" si="4"/>
        <v>862361.1061</v>
      </c>
    </row>
    <row r="26" ht="15.75" customHeight="1">
      <c r="A26" s="1">
        <f t="shared" si="5"/>
        <v>17</v>
      </c>
      <c r="B26" s="3">
        <f t="shared" si="6"/>
        <v>862361.1061</v>
      </c>
      <c r="C26" s="3">
        <f t="shared" si="1"/>
        <v>1796.585638</v>
      </c>
      <c r="D26" s="3">
        <f t="shared" si="2"/>
        <v>1759.502452</v>
      </c>
      <c r="E26" s="3">
        <f t="shared" si="3"/>
        <v>3556.088089</v>
      </c>
      <c r="F26" s="3"/>
      <c r="G26" s="3">
        <f t="shared" si="4"/>
        <v>860601.6036</v>
      </c>
    </row>
    <row r="27" ht="15.75" customHeight="1">
      <c r="A27" s="1">
        <f t="shared" si="5"/>
        <v>18</v>
      </c>
      <c r="B27" s="3">
        <f t="shared" si="6"/>
        <v>860601.6036</v>
      </c>
      <c r="C27" s="3">
        <f t="shared" si="1"/>
        <v>1792.920008</v>
      </c>
      <c r="D27" s="3">
        <f t="shared" si="2"/>
        <v>1763.168082</v>
      </c>
      <c r="E27" s="3">
        <f t="shared" si="3"/>
        <v>3556.088089</v>
      </c>
      <c r="F27" s="3"/>
      <c r="G27" s="3">
        <f t="shared" si="4"/>
        <v>858838.4355</v>
      </c>
    </row>
    <row r="28" ht="15.75" customHeight="1">
      <c r="A28" s="1">
        <f t="shared" si="5"/>
        <v>19</v>
      </c>
      <c r="B28" s="3">
        <f t="shared" si="6"/>
        <v>858838.4355</v>
      </c>
      <c r="C28" s="3">
        <f t="shared" si="1"/>
        <v>1789.246741</v>
      </c>
      <c r="D28" s="3">
        <f t="shared" si="2"/>
        <v>1766.841349</v>
      </c>
      <c r="E28" s="3">
        <f t="shared" si="3"/>
        <v>3556.088089</v>
      </c>
      <c r="F28" s="3"/>
      <c r="G28" s="3">
        <f t="shared" si="4"/>
        <v>857071.5942</v>
      </c>
    </row>
    <row r="29" ht="15.75" customHeight="1">
      <c r="A29" s="1">
        <f t="shared" si="5"/>
        <v>20</v>
      </c>
      <c r="B29" s="3">
        <f t="shared" si="6"/>
        <v>857071.5942</v>
      </c>
      <c r="C29" s="3">
        <f t="shared" si="1"/>
        <v>1785.565821</v>
      </c>
      <c r="D29" s="3">
        <f t="shared" si="2"/>
        <v>1770.522268</v>
      </c>
      <c r="E29" s="3">
        <f t="shared" si="3"/>
        <v>3556.088089</v>
      </c>
      <c r="F29" s="3"/>
      <c r="G29" s="3">
        <f t="shared" si="4"/>
        <v>855301.0719</v>
      </c>
    </row>
    <row r="30" ht="15.75" customHeight="1">
      <c r="A30" s="1">
        <f t="shared" si="5"/>
        <v>21</v>
      </c>
      <c r="B30" s="3">
        <f t="shared" si="6"/>
        <v>855301.0719</v>
      </c>
      <c r="C30" s="3">
        <f t="shared" si="1"/>
        <v>1781.877233</v>
      </c>
      <c r="D30" s="3">
        <f t="shared" si="2"/>
        <v>1774.210856</v>
      </c>
      <c r="E30" s="3">
        <f t="shared" si="3"/>
        <v>3556.088089</v>
      </c>
      <c r="F30" s="3"/>
      <c r="G30" s="3">
        <f t="shared" si="4"/>
        <v>853526.8611</v>
      </c>
    </row>
    <row r="31" ht="15.75" customHeight="1">
      <c r="A31" s="1">
        <f t="shared" si="5"/>
        <v>22</v>
      </c>
      <c r="B31" s="3">
        <f t="shared" si="6"/>
        <v>853526.8611</v>
      </c>
      <c r="C31" s="3">
        <f t="shared" si="1"/>
        <v>1778.180961</v>
      </c>
      <c r="D31" s="3">
        <f t="shared" si="2"/>
        <v>1777.907129</v>
      </c>
      <c r="E31" s="3">
        <f t="shared" si="3"/>
        <v>3556.088089</v>
      </c>
      <c r="F31" s="3"/>
      <c r="G31" s="3">
        <f t="shared" si="4"/>
        <v>851748.9539</v>
      </c>
    </row>
    <row r="32" ht="15.75" customHeight="1">
      <c r="A32" s="1">
        <f t="shared" si="5"/>
        <v>23</v>
      </c>
      <c r="B32" s="3">
        <f t="shared" si="6"/>
        <v>851748.9539</v>
      </c>
      <c r="C32" s="3">
        <f t="shared" si="1"/>
        <v>1774.476987</v>
      </c>
      <c r="D32" s="3">
        <f t="shared" si="2"/>
        <v>1781.611102</v>
      </c>
      <c r="E32" s="3">
        <f t="shared" si="3"/>
        <v>3556.088089</v>
      </c>
      <c r="F32" s="3"/>
      <c r="G32" s="3">
        <f t="shared" si="4"/>
        <v>849967.3428</v>
      </c>
    </row>
    <row r="33" ht="15.75" customHeight="1">
      <c r="A33" s="1">
        <f t="shared" si="5"/>
        <v>24</v>
      </c>
      <c r="B33" s="3">
        <f t="shared" si="6"/>
        <v>849967.3428</v>
      </c>
      <c r="C33" s="3">
        <f t="shared" si="1"/>
        <v>1770.765298</v>
      </c>
      <c r="D33" s="3">
        <f t="shared" si="2"/>
        <v>1785.322792</v>
      </c>
      <c r="E33" s="3">
        <f t="shared" si="3"/>
        <v>3556.088089</v>
      </c>
      <c r="F33" s="3"/>
      <c r="G33" s="3">
        <f t="shared" si="4"/>
        <v>848182.02</v>
      </c>
    </row>
    <row r="34" ht="15.75" customHeight="1">
      <c r="A34" s="1">
        <f t="shared" si="5"/>
        <v>25</v>
      </c>
      <c r="B34" s="3">
        <f t="shared" si="6"/>
        <v>848182.02</v>
      </c>
      <c r="C34" s="3">
        <f t="shared" si="1"/>
        <v>1767.045875</v>
      </c>
      <c r="D34" s="3">
        <f t="shared" si="2"/>
        <v>1789.042214</v>
      </c>
      <c r="E34" s="3">
        <f t="shared" si="3"/>
        <v>3556.088089</v>
      </c>
      <c r="F34" s="3"/>
      <c r="G34" s="3">
        <f t="shared" si="4"/>
        <v>846392.9778</v>
      </c>
    </row>
    <row r="35" ht="15.75" customHeight="1">
      <c r="A35" s="1">
        <f t="shared" si="5"/>
        <v>26</v>
      </c>
      <c r="B35" s="3">
        <f t="shared" si="6"/>
        <v>846392.9778</v>
      </c>
      <c r="C35" s="3">
        <f t="shared" si="1"/>
        <v>1763.318704</v>
      </c>
      <c r="D35" s="3">
        <f t="shared" si="2"/>
        <v>1792.769386</v>
      </c>
      <c r="E35" s="3">
        <f t="shared" si="3"/>
        <v>3556.088089</v>
      </c>
      <c r="F35" s="3"/>
      <c r="G35" s="3">
        <f t="shared" si="4"/>
        <v>844600.2084</v>
      </c>
    </row>
    <row r="36" ht="15.75" customHeight="1">
      <c r="A36" s="1">
        <f t="shared" si="5"/>
        <v>27</v>
      </c>
      <c r="B36" s="3">
        <f t="shared" si="6"/>
        <v>844600.2084</v>
      </c>
      <c r="C36" s="3">
        <f t="shared" si="1"/>
        <v>1759.583768</v>
      </c>
      <c r="D36" s="3">
        <f t="shared" si="2"/>
        <v>1796.504322</v>
      </c>
      <c r="E36" s="3">
        <f t="shared" si="3"/>
        <v>3556.088089</v>
      </c>
      <c r="F36" s="3"/>
      <c r="G36" s="3">
        <f t="shared" si="4"/>
        <v>842803.7041</v>
      </c>
    </row>
    <row r="37" ht="15.75" customHeight="1">
      <c r="A37" s="1">
        <f t="shared" si="5"/>
        <v>28</v>
      </c>
      <c r="B37" s="3">
        <f t="shared" si="6"/>
        <v>842803.7041</v>
      </c>
      <c r="C37" s="3">
        <f t="shared" si="1"/>
        <v>1755.84105</v>
      </c>
      <c r="D37" s="3">
        <f t="shared" si="2"/>
        <v>1800.247039</v>
      </c>
      <c r="E37" s="3">
        <f t="shared" si="3"/>
        <v>3556.088089</v>
      </c>
      <c r="F37" s="3"/>
      <c r="G37" s="3">
        <f t="shared" si="4"/>
        <v>841003.4571</v>
      </c>
    </row>
    <row r="38" ht="15.75" customHeight="1">
      <c r="A38" s="1">
        <f t="shared" si="5"/>
        <v>29</v>
      </c>
      <c r="B38" s="3">
        <f t="shared" si="6"/>
        <v>841003.4571</v>
      </c>
      <c r="C38" s="3">
        <f t="shared" si="1"/>
        <v>1752.090536</v>
      </c>
      <c r="D38" s="3">
        <f t="shared" si="2"/>
        <v>1803.997554</v>
      </c>
      <c r="E38" s="3">
        <f t="shared" si="3"/>
        <v>3556.088089</v>
      </c>
      <c r="F38" s="3"/>
      <c r="G38" s="3">
        <f t="shared" si="4"/>
        <v>839199.4595</v>
      </c>
    </row>
    <row r="39" ht="15.75" customHeight="1">
      <c r="A39" s="1">
        <f t="shared" si="5"/>
        <v>30</v>
      </c>
      <c r="B39" s="3">
        <f t="shared" si="6"/>
        <v>839199.4595</v>
      </c>
      <c r="C39" s="3">
        <f t="shared" si="1"/>
        <v>1748.332207</v>
      </c>
      <c r="D39" s="3">
        <f t="shared" si="2"/>
        <v>1807.755882</v>
      </c>
      <c r="E39" s="3">
        <f t="shared" si="3"/>
        <v>3556.088089</v>
      </c>
      <c r="F39" s="3"/>
      <c r="G39" s="3">
        <f t="shared" si="4"/>
        <v>837391.7036</v>
      </c>
    </row>
    <row r="40" ht="15.75" customHeight="1">
      <c r="A40" s="1">
        <f t="shared" si="5"/>
        <v>31</v>
      </c>
      <c r="B40" s="3">
        <f t="shared" si="6"/>
        <v>837391.7036</v>
      </c>
      <c r="C40" s="3">
        <f t="shared" si="1"/>
        <v>1744.566049</v>
      </c>
      <c r="D40" s="3">
        <f t="shared" si="2"/>
        <v>1811.52204</v>
      </c>
      <c r="E40" s="3">
        <f t="shared" si="3"/>
        <v>3556.088089</v>
      </c>
      <c r="F40" s="3"/>
      <c r="G40" s="3">
        <f t="shared" si="4"/>
        <v>835580.1816</v>
      </c>
    </row>
    <row r="41" ht="15.75" customHeight="1">
      <c r="A41" s="1">
        <f t="shared" si="5"/>
        <v>32</v>
      </c>
      <c r="B41" s="3">
        <f t="shared" si="6"/>
        <v>835580.1816</v>
      </c>
      <c r="C41" s="3">
        <f t="shared" si="1"/>
        <v>1740.792045</v>
      </c>
      <c r="D41" s="3">
        <f t="shared" si="2"/>
        <v>1815.296044</v>
      </c>
      <c r="E41" s="3">
        <f t="shared" si="3"/>
        <v>3556.088089</v>
      </c>
      <c r="F41" s="3"/>
      <c r="G41" s="3">
        <f t="shared" si="4"/>
        <v>833764.8856</v>
      </c>
    </row>
    <row r="42" ht="15.75" customHeight="1">
      <c r="A42" s="1">
        <f t="shared" si="5"/>
        <v>33</v>
      </c>
      <c r="B42" s="3">
        <f t="shared" si="6"/>
        <v>833764.8856</v>
      </c>
      <c r="C42" s="3">
        <f t="shared" si="1"/>
        <v>1737.010178</v>
      </c>
      <c r="D42" s="3">
        <f t="shared" si="2"/>
        <v>1819.077911</v>
      </c>
      <c r="E42" s="3">
        <f t="shared" si="3"/>
        <v>3556.088089</v>
      </c>
      <c r="F42" s="3"/>
      <c r="G42" s="3">
        <f t="shared" si="4"/>
        <v>831945.8077</v>
      </c>
    </row>
    <row r="43" ht="15.75" customHeight="1">
      <c r="A43" s="1">
        <f t="shared" si="5"/>
        <v>34</v>
      </c>
      <c r="B43" s="3">
        <f t="shared" si="6"/>
        <v>831945.8077</v>
      </c>
      <c r="C43" s="3">
        <f t="shared" si="1"/>
        <v>1733.220433</v>
      </c>
      <c r="D43" s="3">
        <f t="shared" si="2"/>
        <v>1822.867657</v>
      </c>
      <c r="E43" s="3">
        <f t="shared" si="3"/>
        <v>3556.088089</v>
      </c>
      <c r="F43" s="3"/>
      <c r="G43" s="3">
        <f t="shared" si="4"/>
        <v>830122.94</v>
      </c>
    </row>
    <row r="44" ht="15.75" customHeight="1">
      <c r="A44" s="1">
        <f t="shared" si="5"/>
        <v>35</v>
      </c>
      <c r="B44" s="3">
        <f t="shared" si="6"/>
        <v>830122.94</v>
      </c>
      <c r="C44" s="3">
        <f t="shared" si="1"/>
        <v>1729.422792</v>
      </c>
      <c r="D44" s="3">
        <f t="shared" si="2"/>
        <v>1826.665298</v>
      </c>
      <c r="E44" s="3">
        <f t="shared" si="3"/>
        <v>3556.088089</v>
      </c>
      <c r="F44" s="3"/>
      <c r="G44" s="3">
        <f t="shared" si="4"/>
        <v>828296.2747</v>
      </c>
    </row>
    <row r="45" ht="15.75" customHeight="1">
      <c r="A45" s="1">
        <f t="shared" si="5"/>
        <v>36</v>
      </c>
      <c r="B45" s="3">
        <f t="shared" si="6"/>
        <v>828296.2747</v>
      </c>
      <c r="C45" s="3">
        <f t="shared" si="1"/>
        <v>1725.617239</v>
      </c>
      <c r="D45" s="3">
        <f t="shared" si="2"/>
        <v>1830.47085</v>
      </c>
      <c r="E45" s="3">
        <f t="shared" si="3"/>
        <v>3556.088089</v>
      </c>
      <c r="F45" s="3"/>
      <c r="G45" s="3">
        <f t="shared" si="4"/>
        <v>826465.8038</v>
      </c>
    </row>
    <row r="46" ht="15.75" customHeight="1">
      <c r="A46" s="1">
        <f t="shared" si="5"/>
        <v>37</v>
      </c>
      <c r="B46" s="3">
        <f t="shared" si="6"/>
        <v>826465.8038</v>
      </c>
      <c r="C46" s="3">
        <f t="shared" si="1"/>
        <v>1721.803758</v>
      </c>
      <c r="D46" s="3">
        <f t="shared" si="2"/>
        <v>1834.284331</v>
      </c>
      <c r="E46" s="3">
        <f t="shared" si="3"/>
        <v>3556.088089</v>
      </c>
      <c r="F46" s="3"/>
      <c r="G46" s="3">
        <f t="shared" si="4"/>
        <v>824631.5195</v>
      </c>
    </row>
    <row r="47" ht="15.75" customHeight="1">
      <c r="A47" s="1">
        <f t="shared" si="5"/>
        <v>38</v>
      </c>
      <c r="B47" s="3">
        <f t="shared" si="6"/>
        <v>824631.5195</v>
      </c>
      <c r="C47" s="3">
        <f t="shared" si="1"/>
        <v>1717.982332</v>
      </c>
      <c r="D47" s="3">
        <f t="shared" si="2"/>
        <v>1838.105757</v>
      </c>
      <c r="E47" s="3">
        <f t="shared" si="3"/>
        <v>3556.088089</v>
      </c>
      <c r="F47" s="3"/>
      <c r="G47" s="3">
        <f t="shared" si="4"/>
        <v>822793.4138</v>
      </c>
    </row>
    <row r="48" ht="15.75" customHeight="1">
      <c r="A48" s="1">
        <f t="shared" si="5"/>
        <v>39</v>
      </c>
      <c r="B48" s="3">
        <f t="shared" si="6"/>
        <v>822793.4138</v>
      </c>
      <c r="C48" s="3">
        <f t="shared" si="1"/>
        <v>1714.152945</v>
      </c>
      <c r="D48" s="3">
        <f t="shared" si="2"/>
        <v>1841.935144</v>
      </c>
      <c r="E48" s="3">
        <f t="shared" si="3"/>
        <v>3556.088089</v>
      </c>
      <c r="F48" s="3"/>
      <c r="G48" s="3">
        <f t="shared" si="4"/>
        <v>820951.4786</v>
      </c>
    </row>
    <row r="49" ht="15.75" customHeight="1">
      <c r="A49" s="1">
        <f t="shared" si="5"/>
        <v>40</v>
      </c>
      <c r="B49" s="3">
        <f t="shared" si="6"/>
        <v>820951.4786</v>
      </c>
      <c r="C49" s="3">
        <f t="shared" si="1"/>
        <v>1710.31558</v>
      </c>
      <c r="D49" s="3">
        <f t="shared" si="2"/>
        <v>1845.772509</v>
      </c>
      <c r="E49" s="3">
        <f t="shared" si="3"/>
        <v>3556.088089</v>
      </c>
      <c r="F49" s="3"/>
      <c r="G49" s="3">
        <f t="shared" si="4"/>
        <v>819105.7061</v>
      </c>
    </row>
    <row r="50" ht="15.75" customHeight="1">
      <c r="A50" s="1">
        <f t="shared" si="5"/>
        <v>41</v>
      </c>
      <c r="B50" s="3">
        <f t="shared" si="6"/>
        <v>819105.7061</v>
      </c>
      <c r="C50" s="3">
        <f t="shared" si="1"/>
        <v>1706.470221</v>
      </c>
      <c r="D50" s="3">
        <f t="shared" si="2"/>
        <v>1849.617868</v>
      </c>
      <c r="E50" s="3">
        <f t="shared" si="3"/>
        <v>3556.088089</v>
      </c>
      <c r="F50" s="3"/>
      <c r="G50" s="3">
        <f t="shared" si="4"/>
        <v>817256.0882</v>
      </c>
    </row>
    <row r="51" ht="15.75" customHeight="1">
      <c r="A51" s="1">
        <f t="shared" si="5"/>
        <v>42</v>
      </c>
      <c r="B51" s="3">
        <f t="shared" si="6"/>
        <v>817256.0882</v>
      </c>
      <c r="C51" s="3">
        <f t="shared" si="1"/>
        <v>1702.61685</v>
      </c>
      <c r="D51" s="3">
        <f t="shared" si="2"/>
        <v>1853.471239</v>
      </c>
      <c r="E51" s="3">
        <f t="shared" si="3"/>
        <v>3556.088089</v>
      </c>
      <c r="F51" s="3"/>
      <c r="G51" s="3">
        <f t="shared" si="4"/>
        <v>815402.617</v>
      </c>
    </row>
    <row r="52" ht="15.75" customHeight="1">
      <c r="A52" s="1">
        <f t="shared" si="5"/>
        <v>43</v>
      </c>
      <c r="B52" s="3">
        <f t="shared" si="6"/>
        <v>815402.617</v>
      </c>
      <c r="C52" s="3">
        <f t="shared" si="1"/>
        <v>1698.755452</v>
      </c>
      <c r="D52" s="3">
        <f t="shared" si="2"/>
        <v>1857.332637</v>
      </c>
      <c r="E52" s="3">
        <f t="shared" si="3"/>
        <v>3556.088089</v>
      </c>
      <c r="F52" s="3"/>
      <c r="G52" s="3">
        <f t="shared" si="4"/>
        <v>813545.2844</v>
      </c>
    </row>
    <row r="53" ht="15.75" customHeight="1">
      <c r="A53" s="1">
        <f t="shared" si="5"/>
        <v>44</v>
      </c>
      <c r="B53" s="3">
        <f t="shared" si="6"/>
        <v>813545.2844</v>
      </c>
      <c r="C53" s="3">
        <f t="shared" si="1"/>
        <v>1694.886009</v>
      </c>
      <c r="D53" s="3">
        <f t="shared" si="2"/>
        <v>1861.20208</v>
      </c>
      <c r="E53" s="3">
        <f t="shared" si="3"/>
        <v>3556.088089</v>
      </c>
      <c r="F53" s="3"/>
      <c r="G53" s="3">
        <f t="shared" si="4"/>
        <v>811684.0823</v>
      </c>
    </row>
    <row r="54" ht="15.75" customHeight="1">
      <c r="A54" s="1">
        <f t="shared" si="5"/>
        <v>45</v>
      </c>
      <c r="B54" s="3">
        <f t="shared" si="6"/>
        <v>811684.0823</v>
      </c>
      <c r="C54" s="3">
        <f t="shared" si="1"/>
        <v>1691.008505</v>
      </c>
      <c r="D54" s="3">
        <f t="shared" si="2"/>
        <v>1865.079585</v>
      </c>
      <c r="E54" s="3">
        <f t="shared" si="3"/>
        <v>3556.088089</v>
      </c>
      <c r="F54" s="3"/>
      <c r="G54" s="3">
        <f t="shared" si="4"/>
        <v>809819.0027</v>
      </c>
    </row>
    <row r="55" ht="15.75" customHeight="1">
      <c r="A55" s="1">
        <f t="shared" si="5"/>
        <v>46</v>
      </c>
      <c r="B55" s="3">
        <f t="shared" si="6"/>
        <v>809819.0027</v>
      </c>
      <c r="C55" s="3">
        <f t="shared" si="1"/>
        <v>1687.122922</v>
      </c>
      <c r="D55" s="3">
        <f t="shared" si="2"/>
        <v>1868.965167</v>
      </c>
      <c r="E55" s="3">
        <f t="shared" si="3"/>
        <v>3556.088089</v>
      </c>
      <c r="F55" s="3"/>
      <c r="G55" s="3">
        <f t="shared" si="4"/>
        <v>807950.0375</v>
      </c>
    </row>
    <row r="56" ht="15.75" customHeight="1">
      <c r="A56" s="1">
        <f t="shared" si="5"/>
        <v>47</v>
      </c>
      <c r="B56" s="3">
        <f t="shared" si="6"/>
        <v>807950.0375</v>
      </c>
      <c r="C56" s="3">
        <f t="shared" si="1"/>
        <v>1683.229245</v>
      </c>
      <c r="D56" s="3">
        <f t="shared" si="2"/>
        <v>1872.858845</v>
      </c>
      <c r="E56" s="3">
        <f t="shared" si="3"/>
        <v>3556.088089</v>
      </c>
      <c r="F56" s="3"/>
      <c r="G56" s="3">
        <f t="shared" si="4"/>
        <v>806077.1787</v>
      </c>
    </row>
    <row r="57" ht="15.75" customHeight="1">
      <c r="A57" s="1">
        <f t="shared" si="5"/>
        <v>48</v>
      </c>
      <c r="B57" s="3">
        <f t="shared" si="6"/>
        <v>806077.1787</v>
      </c>
      <c r="C57" s="3">
        <f t="shared" si="1"/>
        <v>1679.327456</v>
      </c>
      <c r="D57" s="3">
        <f t="shared" si="2"/>
        <v>1876.760634</v>
      </c>
      <c r="E57" s="3">
        <f t="shared" si="3"/>
        <v>3556.088089</v>
      </c>
      <c r="F57" s="3"/>
      <c r="G57" s="3">
        <f t="shared" si="4"/>
        <v>804200.4181</v>
      </c>
    </row>
    <row r="58" ht="15.75" customHeight="1">
      <c r="A58" s="1">
        <f t="shared" si="5"/>
        <v>49</v>
      </c>
      <c r="B58" s="3">
        <f t="shared" si="6"/>
        <v>804200.4181</v>
      </c>
      <c r="C58" s="3">
        <f t="shared" si="1"/>
        <v>1675.417538</v>
      </c>
      <c r="D58" s="3">
        <f t="shared" si="2"/>
        <v>1880.670552</v>
      </c>
      <c r="E58" s="3">
        <f t="shared" si="3"/>
        <v>3556.088089</v>
      </c>
      <c r="F58" s="3"/>
      <c r="G58" s="3">
        <f t="shared" si="4"/>
        <v>802319.7475</v>
      </c>
    </row>
    <row r="59" ht="15.75" customHeight="1">
      <c r="A59" s="1">
        <f t="shared" si="5"/>
        <v>50</v>
      </c>
      <c r="B59" s="3">
        <f t="shared" si="6"/>
        <v>802319.7475</v>
      </c>
      <c r="C59" s="3">
        <f t="shared" si="1"/>
        <v>1671.499474</v>
      </c>
      <c r="D59" s="3">
        <f t="shared" si="2"/>
        <v>1884.588615</v>
      </c>
      <c r="E59" s="3">
        <f t="shared" si="3"/>
        <v>3556.088089</v>
      </c>
      <c r="F59" s="3"/>
      <c r="G59" s="3">
        <f t="shared" si="4"/>
        <v>800435.1589</v>
      </c>
    </row>
    <row r="60" ht="15.75" customHeight="1">
      <c r="A60" s="1">
        <f t="shared" si="5"/>
        <v>51</v>
      </c>
      <c r="B60" s="3">
        <f t="shared" si="6"/>
        <v>800435.1589</v>
      </c>
      <c r="C60" s="3">
        <f t="shared" si="1"/>
        <v>1667.573248</v>
      </c>
      <c r="D60" s="3">
        <f t="shared" si="2"/>
        <v>1888.514842</v>
      </c>
      <c r="E60" s="3">
        <f t="shared" si="3"/>
        <v>3556.088089</v>
      </c>
      <c r="F60" s="3"/>
      <c r="G60" s="3">
        <f t="shared" si="4"/>
        <v>798546.644</v>
      </c>
    </row>
    <row r="61" ht="15.75" customHeight="1">
      <c r="A61" s="1">
        <f t="shared" si="5"/>
        <v>52</v>
      </c>
      <c r="B61" s="3">
        <f t="shared" si="6"/>
        <v>798546.644</v>
      </c>
      <c r="C61" s="3">
        <f t="shared" si="1"/>
        <v>1663.638842</v>
      </c>
      <c r="D61" s="3">
        <f t="shared" si="2"/>
        <v>1892.449248</v>
      </c>
      <c r="E61" s="3">
        <f t="shared" si="3"/>
        <v>3556.088089</v>
      </c>
      <c r="F61" s="3"/>
      <c r="G61" s="3">
        <f t="shared" si="4"/>
        <v>796654.1948</v>
      </c>
    </row>
    <row r="62" ht="15.75" customHeight="1">
      <c r="A62" s="1">
        <f t="shared" si="5"/>
        <v>53</v>
      </c>
      <c r="B62" s="3">
        <f t="shared" si="6"/>
        <v>796654.1948</v>
      </c>
      <c r="C62" s="3">
        <f t="shared" si="1"/>
        <v>1659.696239</v>
      </c>
      <c r="D62" s="3">
        <f t="shared" si="2"/>
        <v>1896.39185</v>
      </c>
      <c r="E62" s="3">
        <f t="shared" si="3"/>
        <v>3556.088089</v>
      </c>
      <c r="F62" s="3"/>
      <c r="G62" s="3">
        <f t="shared" si="4"/>
        <v>794757.8029</v>
      </c>
    </row>
    <row r="63" ht="15.75" customHeight="1">
      <c r="A63" s="1">
        <f t="shared" si="5"/>
        <v>54</v>
      </c>
      <c r="B63" s="3">
        <f t="shared" si="6"/>
        <v>794757.8029</v>
      </c>
      <c r="C63" s="3">
        <f t="shared" si="1"/>
        <v>1655.745423</v>
      </c>
      <c r="D63" s="3">
        <f t="shared" si="2"/>
        <v>1900.342667</v>
      </c>
      <c r="E63" s="3">
        <f t="shared" si="3"/>
        <v>3556.088089</v>
      </c>
      <c r="F63" s="3"/>
      <c r="G63" s="3">
        <f t="shared" si="4"/>
        <v>792857.4603</v>
      </c>
    </row>
    <row r="64" ht="15.75" customHeight="1">
      <c r="A64" s="1">
        <f t="shared" si="5"/>
        <v>55</v>
      </c>
      <c r="B64" s="3">
        <f t="shared" si="6"/>
        <v>792857.4603</v>
      </c>
      <c r="C64" s="3">
        <f t="shared" si="1"/>
        <v>1651.786376</v>
      </c>
      <c r="D64" s="3">
        <f t="shared" si="2"/>
        <v>1904.301714</v>
      </c>
      <c r="E64" s="3">
        <f t="shared" si="3"/>
        <v>3556.088089</v>
      </c>
      <c r="F64" s="3"/>
      <c r="G64" s="3">
        <f t="shared" si="4"/>
        <v>790953.1586</v>
      </c>
    </row>
    <row r="65" ht="15.75" customHeight="1">
      <c r="A65" s="1">
        <f t="shared" si="5"/>
        <v>56</v>
      </c>
      <c r="B65" s="3">
        <f t="shared" si="6"/>
        <v>790953.1586</v>
      </c>
      <c r="C65" s="3">
        <f t="shared" si="1"/>
        <v>1647.81908</v>
      </c>
      <c r="D65" s="3">
        <f t="shared" si="2"/>
        <v>1908.269009</v>
      </c>
      <c r="E65" s="3">
        <f t="shared" si="3"/>
        <v>3556.088089</v>
      </c>
      <c r="F65" s="3"/>
      <c r="G65" s="3">
        <f t="shared" si="4"/>
        <v>789044.8896</v>
      </c>
    </row>
    <row r="66" ht="15.75" customHeight="1">
      <c r="A66" s="1">
        <f t="shared" si="5"/>
        <v>57</v>
      </c>
      <c r="B66" s="3">
        <f t="shared" si="6"/>
        <v>789044.8896</v>
      </c>
      <c r="C66" s="3">
        <f t="shared" si="1"/>
        <v>1643.84352</v>
      </c>
      <c r="D66" s="3">
        <f t="shared" si="2"/>
        <v>1912.244569</v>
      </c>
      <c r="E66" s="3">
        <f t="shared" si="3"/>
        <v>3556.088089</v>
      </c>
      <c r="F66" s="3"/>
      <c r="G66" s="3">
        <f t="shared" si="4"/>
        <v>787132.645</v>
      </c>
    </row>
    <row r="67" ht="15.75" customHeight="1">
      <c r="A67" s="1">
        <f t="shared" si="5"/>
        <v>58</v>
      </c>
      <c r="B67" s="3">
        <f t="shared" si="6"/>
        <v>787132.645</v>
      </c>
      <c r="C67" s="3">
        <f t="shared" si="1"/>
        <v>1639.859677</v>
      </c>
      <c r="D67" s="3">
        <f t="shared" si="2"/>
        <v>1916.228412</v>
      </c>
      <c r="E67" s="3">
        <f t="shared" si="3"/>
        <v>3556.088089</v>
      </c>
      <c r="F67" s="3"/>
      <c r="G67" s="3">
        <f t="shared" si="4"/>
        <v>785216.4166</v>
      </c>
    </row>
    <row r="68" ht="15.75" customHeight="1">
      <c r="A68" s="1">
        <f t="shared" si="5"/>
        <v>59</v>
      </c>
      <c r="B68" s="3">
        <f t="shared" si="6"/>
        <v>785216.4166</v>
      </c>
      <c r="C68" s="3">
        <f t="shared" si="1"/>
        <v>1635.867535</v>
      </c>
      <c r="D68" s="3">
        <f t="shared" si="2"/>
        <v>1920.220555</v>
      </c>
      <c r="E68" s="3">
        <f t="shared" si="3"/>
        <v>3556.088089</v>
      </c>
      <c r="F68" s="3"/>
      <c r="G68" s="3">
        <f t="shared" si="4"/>
        <v>783296.196</v>
      </c>
    </row>
    <row r="69" ht="15.75" customHeight="1">
      <c r="A69" s="1">
        <f t="shared" si="5"/>
        <v>60</v>
      </c>
      <c r="B69" s="3">
        <f t="shared" si="6"/>
        <v>783296.196</v>
      </c>
      <c r="C69" s="3">
        <f t="shared" si="1"/>
        <v>1631.867075</v>
      </c>
      <c r="D69" s="3">
        <f t="shared" si="2"/>
        <v>1924.221014</v>
      </c>
      <c r="E69" s="3">
        <f t="shared" si="3"/>
        <v>3556.088089</v>
      </c>
      <c r="F69" s="3"/>
      <c r="G69" s="3">
        <f t="shared" si="4"/>
        <v>781371.975</v>
      </c>
    </row>
    <row r="70" ht="15.75" customHeight="1">
      <c r="A70" s="1">
        <f t="shared" si="5"/>
        <v>61</v>
      </c>
      <c r="B70" s="3">
        <f t="shared" si="6"/>
        <v>781371.975</v>
      </c>
      <c r="C70" s="3">
        <f t="shared" si="1"/>
        <v>1627.858281</v>
      </c>
      <c r="D70" s="3">
        <f t="shared" si="2"/>
        <v>1928.229808</v>
      </c>
      <c r="E70" s="3">
        <f t="shared" si="3"/>
        <v>3556.088089</v>
      </c>
      <c r="F70" s="3"/>
      <c r="G70" s="3">
        <f t="shared" si="4"/>
        <v>779443.7452</v>
      </c>
    </row>
    <row r="71" ht="15.75" customHeight="1">
      <c r="A71" s="1">
        <f t="shared" si="5"/>
        <v>62</v>
      </c>
      <c r="B71" s="3">
        <f t="shared" si="6"/>
        <v>779443.7452</v>
      </c>
      <c r="C71" s="3">
        <f t="shared" si="1"/>
        <v>1623.841136</v>
      </c>
      <c r="D71" s="3">
        <f t="shared" si="2"/>
        <v>1932.246954</v>
      </c>
      <c r="E71" s="3">
        <f t="shared" si="3"/>
        <v>3556.088089</v>
      </c>
      <c r="F71" s="3"/>
      <c r="G71" s="3">
        <f t="shared" si="4"/>
        <v>777511.4982</v>
      </c>
    </row>
    <row r="72" ht="15.75" customHeight="1">
      <c r="A72" s="1">
        <f t="shared" si="5"/>
        <v>63</v>
      </c>
      <c r="B72" s="3">
        <f t="shared" si="6"/>
        <v>777511.4982</v>
      </c>
      <c r="C72" s="3">
        <f t="shared" si="1"/>
        <v>1619.815621</v>
      </c>
      <c r="D72" s="3">
        <f t="shared" si="2"/>
        <v>1936.272468</v>
      </c>
      <c r="E72" s="3">
        <f t="shared" si="3"/>
        <v>3556.088089</v>
      </c>
      <c r="F72" s="3"/>
      <c r="G72" s="3">
        <f t="shared" si="4"/>
        <v>775575.2258</v>
      </c>
    </row>
    <row r="73" ht="15.75" customHeight="1">
      <c r="A73" s="1">
        <f t="shared" si="5"/>
        <v>64</v>
      </c>
      <c r="B73" s="3">
        <f t="shared" si="6"/>
        <v>775575.2258</v>
      </c>
      <c r="C73" s="3">
        <f t="shared" si="1"/>
        <v>1615.78172</v>
      </c>
      <c r="D73" s="3">
        <f t="shared" si="2"/>
        <v>1940.306369</v>
      </c>
      <c r="E73" s="3">
        <f t="shared" si="3"/>
        <v>3556.088089</v>
      </c>
      <c r="F73" s="3"/>
      <c r="G73" s="3">
        <f t="shared" si="4"/>
        <v>773634.9194</v>
      </c>
    </row>
    <row r="74" ht="15.75" customHeight="1">
      <c r="A74" s="1">
        <f t="shared" si="5"/>
        <v>65</v>
      </c>
      <c r="B74" s="3">
        <f t="shared" si="6"/>
        <v>773634.9194</v>
      </c>
      <c r="C74" s="3">
        <f t="shared" si="1"/>
        <v>1611.739415</v>
      </c>
      <c r="D74" s="3">
        <f t="shared" si="2"/>
        <v>1944.348674</v>
      </c>
      <c r="E74" s="3">
        <f t="shared" si="3"/>
        <v>3556.088089</v>
      </c>
      <c r="F74" s="3"/>
      <c r="G74" s="3">
        <f t="shared" si="4"/>
        <v>771690.5707</v>
      </c>
    </row>
    <row r="75" ht="15.75" customHeight="1">
      <c r="A75" s="1">
        <f t="shared" si="5"/>
        <v>66</v>
      </c>
      <c r="B75" s="3">
        <f t="shared" si="6"/>
        <v>771690.5707</v>
      </c>
      <c r="C75" s="3">
        <f t="shared" si="1"/>
        <v>1607.688689</v>
      </c>
      <c r="D75" s="3">
        <f t="shared" si="2"/>
        <v>1948.3994</v>
      </c>
      <c r="E75" s="3">
        <f t="shared" si="3"/>
        <v>3556.088089</v>
      </c>
      <c r="F75" s="3"/>
      <c r="G75" s="3">
        <f t="shared" si="4"/>
        <v>769742.1713</v>
      </c>
    </row>
    <row r="76" ht="15.75" customHeight="1">
      <c r="A76" s="1">
        <f t="shared" si="5"/>
        <v>67</v>
      </c>
      <c r="B76" s="3">
        <f t="shared" si="6"/>
        <v>769742.1713</v>
      </c>
      <c r="C76" s="3">
        <f t="shared" si="1"/>
        <v>1603.629524</v>
      </c>
      <c r="D76" s="3">
        <f t="shared" si="2"/>
        <v>1952.458566</v>
      </c>
      <c r="E76" s="3">
        <f t="shared" si="3"/>
        <v>3556.088089</v>
      </c>
      <c r="F76" s="3"/>
      <c r="G76" s="3">
        <f t="shared" si="4"/>
        <v>767789.7128</v>
      </c>
    </row>
    <row r="77" ht="15.75" customHeight="1">
      <c r="A77" s="1">
        <f t="shared" si="5"/>
        <v>68</v>
      </c>
      <c r="B77" s="3">
        <f t="shared" si="6"/>
        <v>767789.7128</v>
      </c>
      <c r="C77" s="3">
        <f t="shared" si="1"/>
        <v>1599.561902</v>
      </c>
      <c r="D77" s="3">
        <f t="shared" si="2"/>
        <v>1956.526188</v>
      </c>
      <c r="E77" s="3">
        <f t="shared" si="3"/>
        <v>3556.088089</v>
      </c>
      <c r="F77" s="3"/>
      <c r="G77" s="3">
        <f t="shared" si="4"/>
        <v>765833.1866</v>
      </c>
    </row>
    <row r="78" ht="15.75" customHeight="1">
      <c r="A78" s="1">
        <f t="shared" si="5"/>
        <v>69</v>
      </c>
      <c r="B78" s="3">
        <f t="shared" si="6"/>
        <v>765833.1866</v>
      </c>
      <c r="C78" s="3">
        <f t="shared" si="1"/>
        <v>1595.485805</v>
      </c>
      <c r="D78" s="3">
        <f t="shared" si="2"/>
        <v>1960.602284</v>
      </c>
      <c r="E78" s="3">
        <f t="shared" si="3"/>
        <v>3556.088089</v>
      </c>
      <c r="F78" s="3"/>
      <c r="G78" s="3">
        <f t="shared" si="4"/>
        <v>763872.5843</v>
      </c>
    </row>
    <row r="79" ht="15.75" customHeight="1">
      <c r="A79" s="1">
        <f t="shared" si="5"/>
        <v>70</v>
      </c>
      <c r="B79" s="3">
        <f t="shared" si="6"/>
        <v>763872.5843</v>
      </c>
      <c r="C79" s="3">
        <f t="shared" si="1"/>
        <v>1591.401217</v>
      </c>
      <c r="D79" s="3">
        <f t="shared" si="2"/>
        <v>1964.686872</v>
      </c>
      <c r="E79" s="3">
        <f t="shared" si="3"/>
        <v>3556.088089</v>
      </c>
      <c r="F79" s="3"/>
      <c r="G79" s="3">
        <f t="shared" si="4"/>
        <v>761907.8974</v>
      </c>
    </row>
    <row r="80" ht="15.75" customHeight="1">
      <c r="A80" s="1">
        <f t="shared" si="5"/>
        <v>71</v>
      </c>
      <c r="B80" s="3">
        <f t="shared" si="6"/>
        <v>761907.8974</v>
      </c>
      <c r="C80" s="3">
        <f t="shared" si="1"/>
        <v>1587.30812</v>
      </c>
      <c r="D80" s="3">
        <f t="shared" si="2"/>
        <v>1968.77997</v>
      </c>
      <c r="E80" s="3">
        <f t="shared" si="3"/>
        <v>3556.088089</v>
      </c>
      <c r="F80" s="3"/>
      <c r="G80" s="3">
        <f t="shared" si="4"/>
        <v>759939.1175</v>
      </c>
    </row>
    <row r="81" ht="15.75" customHeight="1">
      <c r="A81" s="1">
        <f t="shared" si="5"/>
        <v>72</v>
      </c>
      <c r="B81" s="3">
        <f t="shared" si="6"/>
        <v>759939.1175</v>
      </c>
      <c r="C81" s="3">
        <f t="shared" si="1"/>
        <v>1583.206495</v>
      </c>
      <c r="D81" s="3">
        <f t="shared" si="2"/>
        <v>1972.881595</v>
      </c>
      <c r="E81" s="3">
        <f t="shared" si="3"/>
        <v>3556.088089</v>
      </c>
      <c r="F81" s="3"/>
      <c r="G81" s="3">
        <f t="shared" si="4"/>
        <v>757966.2359</v>
      </c>
    </row>
    <row r="82" ht="15.75" customHeight="1">
      <c r="A82" s="1">
        <f t="shared" si="5"/>
        <v>73</v>
      </c>
      <c r="B82" s="3">
        <f t="shared" si="6"/>
        <v>757966.2359</v>
      </c>
      <c r="C82" s="3">
        <f t="shared" si="1"/>
        <v>1579.096325</v>
      </c>
      <c r="D82" s="3">
        <f t="shared" si="2"/>
        <v>1976.991765</v>
      </c>
      <c r="E82" s="3">
        <f t="shared" si="3"/>
        <v>3556.088089</v>
      </c>
      <c r="F82" s="3"/>
      <c r="G82" s="3">
        <f t="shared" si="4"/>
        <v>755989.2441</v>
      </c>
    </row>
    <row r="83" ht="15.75" customHeight="1">
      <c r="A83" s="1">
        <f t="shared" si="5"/>
        <v>74</v>
      </c>
      <c r="B83" s="3">
        <f t="shared" si="6"/>
        <v>755989.2441</v>
      </c>
      <c r="C83" s="3">
        <f t="shared" si="1"/>
        <v>1574.977592</v>
      </c>
      <c r="D83" s="3">
        <f t="shared" si="2"/>
        <v>1981.110497</v>
      </c>
      <c r="E83" s="3">
        <f t="shared" si="3"/>
        <v>3556.088089</v>
      </c>
      <c r="F83" s="3"/>
      <c r="G83" s="3">
        <f t="shared" si="4"/>
        <v>754008.1336</v>
      </c>
    </row>
    <row r="84" ht="15.75" customHeight="1">
      <c r="A84" s="1">
        <f t="shared" si="5"/>
        <v>75</v>
      </c>
      <c r="B84" s="3">
        <f t="shared" si="6"/>
        <v>754008.1336</v>
      </c>
      <c r="C84" s="3">
        <f t="shared" si="1"/>
        <v>1570.850278</v>
      </c>
      <c r="D84" s="3">
        <f t="shared" si="2"/>
        <v>1985.237811</v>
      </c>
      <c r="E84" s="3">
        <f t="shared" si="3"/>
        <v>3556.088089</v>
      </c>
      <c r="F84" s="3"/>
      <c r="G84" s="3">
        <f t="shared" si="4"/>
        <v>752022.8958</v>
      </c>
    </row>
    <row r="85" ht="15.75" customHeight="1">
      <c r="A85" s="1">
        <f t="shared" si="5"/>
        <v>76</v>
      </c>
      <c r="B85" s="3">
        <f t="shared" si="6"/>
        <v>752022.8958</v>
      </c>
      <c r="C85" s="3">
        <f t="shared" si="1"/>
        <v>1566.714366</v>
      </c>
      <c r="D85" s="3">
        <f t="shared" si="2"/>
        <v>1989.373723</v>
      </c>
      <c r="E85" s="3">
        <f t="shared" si="3"/>
        <v>3556.088089</v>
      </c>
      <c r="F85" s="3"/>
      <c r="G85" s="3">
        <f t="shared" si="4"/>
        <v>750033.5221</v>
      </c>
    </row>
    <row r="86" ht="15.75" customHeight="1">
      <c r="A86" s="1">
        <f t="shared" si="5"/>
        <v>77</v>
      </c>
      <c r="B86" s="3">
        <f t="shared" si="6"/>
        <v>750033.5221</v>
      </c>
      <c r="C86" s="3">
        <f t="shared" si="1"/>
        <v>1562.569838</v>
      </c>
      <c r="D86" s="3">
        <f t="shared" si="2"/>
        <v>1993.518252</v>
      </c>
      <c r="E86" s="3">
        <f t="shared" si="3"/>
        <v>3556.088089</v>
      </c>
      <c r="F86" s="3"/>
      <c r="G86" s="3">
        <f t="shared" si="4"/>
        <v>748040.0038</v>
      </c>
    </row>
    <row r="87" ht="15.75" customHeight="1">
      <c r="A87" s="1">
        <f t="shared" si="5"/>
        <v>78</v>
      </c>
      <c r="B87" s="3">
        <f t="shared" si="6"/>
        <v>748040.0038</v>
      </c>
      <c r="C87" s="3">
        <f t="shared" si="1"/>
        <v>1558.416675</v>
      </c>
      <c r="D87" s="3">
        <f t="shared" si="2"/>
        <v>1997.671415</v>
      </c>
      <c r="E87" s="3">
        <f t="shared" si="3"/>
        <v>3556.088089</v>
      </c>
      <c r="F87" s="3"/>
      <c r="G87" s="3">
        <f t="shared" si="4"/>
        <v>746042.3324</v>
      </c>
    </row>
    <row r="88" ht="15.75" customHeight="1">
      <c r="A88" s="1">
        <f t="shared" si="5"/>
        <v>79</v>
      </c>
      <c r="B88" s="3">
        <f t="shared" si="6"/>
        <v>746042.3324</v>
      </c>
      <c r="C88" s="3">
        <f t="shared" si="1"/>
        <v>1554.254859</v>
      </c>
      <c r="D88" s="3">
        <f t="shared" si="2"/>
        <v>2001.83323</v>
      </c>
      <c r="E88" s="3">
        <f t="shared" si="3"/>
        <v>3556.088089</v>
      </c>
      <c r="F88" s="3"/>
      <c r="G88" s="3">
        <f t="shared" si="4"/>
        <v>744040.4992</v>
      </c>
    </row>
    <row r="89" ht="15.75" customHeight="1">
      <c r="A89" s="1">
        <f t="shared" si="5"/>
        <v>80</v>
      </c>
      <c r="B89" s="3">
        <f t="shared" si="6"/>
        <v>744040.4992</v>
      </c>
      <c r="C89" s="3">
        <f t="shared" si="1"/>
        <v>1550.084373</v>
      </c>
      <c r="D89" s="3">
        <f t="shared" si="2"/>
        <v>2006.003716</v>
      </c>
      <c r="E89" s="3">
        <f t="shared" si="3"/>
        <v>3556.088089</v>
      </c>
      <c r="F89" s="3"/>
      <c r="G89" s="3">
        <f t="shared" si="4"/>
        <v>742034.4954</v>
      </c>
    </row>
    <row r="90" ht="15.75" customHeight="1">
      <c r="A90" s="1">
        <f t="shared" si="5"/>
        <v>81</v>
      </c>
      <c r="B90" s="3">
        <f t="shared" si="6"/>
        <v>742034.4954</v>
      </c>
      <c r="C90" s="3">
        <f t="shared" si="1"/>
        <v>1545.905199</v>
      </c>
      <c r="D90" s="3">
        <f t="shared" si="2"/>
        <v>2010.182891</v>
      </c>
      <c r="E90" s="3">
        <f t="shared" si="3"/>
        <v>3556.088089</v>
      </c>
      <c r="F90" s="3"/>
      <c r="G90" s="3">
        <f t="shared" si="4"/>
        <v>740024.3126</v>
      </c>
    </row>
    <row r="91" ht="15.75" customHeight="1">
      <c r="A91" s="1">
        <f t="shared" si="5"/>
        <v>82</v>
      </c>
      <c r="B91" s="3">
        <f t="shared" si="6"/>
        <v>740024.3126</v>
      </c>
      <c r="C91" s="3">
        <f t="shared" si="1"/>
        <v>1541.717318</v>
      </c>
      <c r="D91" s="3">
        <f t="shared" si="2"/>
        <v>2014.370772</v>
      </c>
      <c r="E91" s="3">
        <f t="shared" si="3"/>
        <v>3556.088089</v>
      </c>
      <c r="F91" s="3"/>
      <c r="G91" s="3">
        <f t="shared" si="4"/>
        <v>738009.9418</v>
      </c>
    </row>
    <row r="92" ht="15.75" customHeight="1">
      <c r="A92" s="1">
        <f t="shared" si="5"/>
        <v>83</v>
      </c>
      <c r="B92" s="3">
        <f t="shared" si="6"/>
        <v>738009.9418</v>
      </c>
      <c r="C92" s="3">
        <f t="shared" si="1"/>
        <v>1537.520712</v>
      </c>
      <c r="D92" s="3">
        <f t="shared" si="2"/>
        <v>2018.567377</v>
      </c>
      <c r="E92" s="3">
        <f t="shared" si="3"/>
        <v>3556.088089</v>
      </c>
      <c r="F92" s="3"/>
      <c r="G92" s="3">
        <f t="shared" si="4"/>
        <v>735991.3744</v>
      </c>
    </row>
    <row r="93" ht="15.75" customHeight="1">
      <c r="A93" s="1">
        <f t="shared" si="5"/>
        <v>84</v>
      </c>
      <c r="B93" s="3">
        <f t="shared" si="6"/>
        <v>735991.3744</v>
      </c>
      <c r="C93" s="3">
        <f t="shared" si="1"/>
        <v>1533.315363</v>
      </c>
      <c r="D93" s="3">
        <f t="shared" si="2"/>
        <v>2022.772726</v>
      </c>
      <c r="E93" s="3">
        <f t="shared" si="3"/>
        <v>3556.088089</v>
      </c>
      <c r="F93" s="3"/>
      <c r="G93" s="3">
        <f t="shared" si="4"/>
        <v>733968.6017</v>
      </c>
    </row>
    <row r="94" ht="15.75" customHeight="1">
      <c r="A94" s="1">
        <f t="shared" si="5"/>
        <v>85</v>
      </c>
      <c r="B94" s="3">
        <f t="shared" si="6"/>
        <v>733968.6017</v>
      </c>
      <c r="C94" s="3">
        <f t="shared" si="1"/>
        <v>1529.101254</v>
      </c>
      <c r="D94" s="3">
        <f t="shared" si="2"/>
        <v>2026.986836</v>
      </c>
      <c r="E94" s="3">
        <f t="shared" si="3"/>
        <v>3556.088089</v>
      </c>
      <c r="F94" s="3"/>
      <c r="G94" s="3">
        <f t="shared" si="4"/>
        <v>731941.6148</v>
      </c>
    </row>
    <row r="95" ht="15.75" customHeight="1">
      <c r="A95" s="1">
        <f t="shared" si="5"/>
        <v>86</v>
      </c>
      <c r="B95" s="3">
        <f t="shared" si="6"/>
        <v>731941.6148</v>
      </c>
      <c r="C95" s="3">
        <f t="shared" si="1"/>
        <v>1524.878364</v>
      </c>
      <c r="D95" s="3">
        <f t="shared" si="2"/>
        <v>2031.209725</v>
      </c>
      <c r="E95" s="3">
        <f t="shared" si="3"/>
        <v>3556.088089</v>
      </c>
      <c r="F95" s="3"/>
      <c r="G95" s="3">
        <f t="shared" si="4"/>
        <v>729910.4051</v>
      </c>
    </row>
    <row r="96" ht="15.75" customHeight="1">
      <c r="A96" s="1">
        <f t="shared" si="5"/>
        <v>87</v>
      </c>
      <c r="B96" s="3">
        <f t="shared" si="6"/>
        <v>729910.4051</v>
      </c>
      <c r="C96" s="3">
        <f t="shared" si="1"/>
        <v>1520.646677</v>
      </c>
      <c r="D96" s="3">
        <f t="shared" si="2"/>
        <v>2035.441412</v>
      </c>
      <c r="E96" s="3">
        <f t="shared" si="3"/>
        <v>3556.088089</v>
      </c>
      <c r="F96" s="3"/>
      <c r="G96" s="3">
        <f t="shared" si="4"/>
        <v>727874.9637</v>
      </c>
    </row>
    <row r="97" ht="15.75" customHeight="1">
      <c r="A97" s="1">
        <f t="shared" si="5"/>
        <v>88</v>
      </c>
      <c r="B97" s="3">
        <f t="shared" si="6"/>
        <v>727874.9637</v>
      </c>
      <c r="C97" s="3">
        <f t="shared" si="1"/>
        <v>1516.406174</v>
      </c>
      <c r="D97" s="3">
        <f t="shared" si="2"/>
        <v>2039.681915</v>
      </c>
      <c r="E97" s="3">
        <f t="shared" si="3"/>
        <v>3556.088089</v>
      </c>
      <c r="F97" s="3"/>
      <c r="G97" s="3">
        <f t="shared" si="4"/>
        <v>725835.2818</v>
      </c>
    </row>
    <row r="98" ht="15.75" customHeight="1">
      <c r="A98" s="1">
        <f t="shared" si="5"/>
        <v>89</v>
      </c>
      <c r="B98" s="3">
        <f t="shared" si="6"/>
        <v>725835.2818</v>
      </c>
      <c r="C98" s="3">
        <f t="shared" si="1"/>
        <v>1512.156837</v>
      </c>
      <c r="D98" s="3">
        <f t="shared" si="2"/>
        <v>2043.931252</v>
      </c>
      <c r="E98" s="3">
        <f t="shared" si="3"/>
        <v>3556.088089</v>
      </c>
      <c r="F98" s="3"/>
      <c r="G98" s="3">
        <f t="shared" si="4"/>
        <v>723791.3505</v>
      </c>
    </row>
    <row r="99" ht="15.75" customHeight="1">
      <c r="A99" s="1">
        <f t="shared" si="5"/>
        <v>90</v>
      </c>
      <c r="B99" s="3">
        <f t="shared" si="6"/>
        <v>723791.3505</v>
      </c>
      <c r="C99" s="3">
        <f t="shared" si="1"/>
        <v>1507.898647</v>
      </c>
      <c r="D99" s="3">
        <f t="shared" si="2"/>
        <v>2048.189442</v>
      </c>
      <c r="E99" s="3">
        <f t="shared" si="3"/>
        <v>3556.088089</v>
      </c>
      <c r="F99" s="3"/>
      <c r="G99" s="3">
        <f t="shared" si="4"/>
        <v>721743.1611</v>
      </c>
    </row>
    <row r="100" ht="15.75" customHeight="1">
      <c r="A100" s="1">
        <f t="shared" si="5"/>
        <v>91</v>
      </c>
      <c r="B100" s="3">
        <f t="shared" si="6"/>
        <v>721743.1611</v>
      </c>
      <c r="C100" s="3">
        <f t="shared" si="1"/>
        <v>1503.631586</v>
      </c>
      <c r="D100" s="3">
        <f t="shared" si="2"/>
        <v>2052.456504</v>
      </c>
      <c r="E100" s="3">
        <f t="shared" si="3"/>
        <v>3556.088089</v>
      </c>
      <c r="F100" s="3"/>
      <c r="G100" s="3">
        <f t="shared" si="4"/>
        <v>719690.7046</v>
      </c>
    </row>
    <row r="101" ht="15.75" customHeight="1">
      <c r="A101" s="1">
        <f t="shared" si="5"/>
        <v>92</v>
      </c>
      <c r="B101" s="3">
        <f t="shared" si="6"/>
        <v>719690.7046</v>
      </c>
      <c r="C101" s="3">
        <f t="shared" si="1"/>
        <v>1499.355635</v>
      </c>
      <c r="D101" s="3">
        <f t="shared" si="2"/>
        <v>2056.732455</v>
      </c>
      <c r="E101" s="3">
        <f t="shared" si="3"/>
        <v>3556.088089</v>
      </c>
      <c r="F101" s="3"/>
      <c r="G101" s="3">
        <f t="shared" si="4"/>
        <v>717633.9721</v>
      </c>
    </row>
    <row r="102" ht="15.75" customHeight="1">
      <c r="A102" s="1">
        <f t="shared" si="5"/>
        <v>93</v>
      </c>
      <c r="B102" s="3">
        <f t="shared" si="6"/>
        <v>717633.9721</v>
      </c>
      <c r="C102" s="3">
        <f t="shared" si="1"/>
        <v>1495.070775</v>
      </c>
      <c r="D102" s="3">
        <f t="shared" si="2"/>
        <v>2061.017314</v>
      </c>
      <c r="E102" s="3">
        <f t="shared" si="3"/>
        <v>3556.088089</v>
      </c>
      <c r="F102" s="3"/>
      <c r="G102" s="3">
        <f t="shared" si="4"/>
        <v>715572.9548</v>
      </c>
    </row>
    <row r="103" ht="15.75" customHeight="1">
      <c r="A103" s="1">
        <f t="shared" si="5"/>
        <v>94</v>
      </c>
      <c r="B103" s="3">
        <f t="shared" si="6"/>
        <v>715572.9548</v>
      </c>
      <c r="C103" s="3">
        <f t="shared" si="1"/>
        <v>1490.776989</v>
      </c>
      <c r="D103" s="3">
        <f t="shared" si="2"/>
        <v>2065.3111</v>
      </c>
      <c r="E103" s="3">
        <f t="shared" si="3"/>
        <v>3556.088089</v>
      </c>
      <c r="F103" s="3"/>
      <c r="G103" s="3">
        <f t="shared" si="4"/>
        <v>713507.6437</v>
      </c>
    </row>
    <row r="104" ht="15.75" customHeight="1">
      <c r="A104" s="1">
        <f t="shared" si="5"/>
        <v>95</v>
      </c>
      <c r="B104" s="3">
        <f t="shared" si="6"/>
        <v>713507.6437</v>
      </c>
      <c r="C104" s="3">
        <f t="shared" si="1"/>
        <v>1486.474258</v>
      </c>
      <c r="D104" s="3">
        <f t="shared" si="2"/>
        <v>2069.613832</v>
      </c>
      <c r="E104" s="3">
        <f t="shared" si="3"/>
        <v>3556.088089</v>
      </c>
      <c r="F104" s="3"/>
      <c r="G104" s="3">
        <f t="shared" si="4"/>
        <v>711438.0299</v>
      </c>
    </row>
    <row r="105" ht="15.75" customHeight="1">
      <c r="A105" s="1">
        <f t="shared" si="5"/>
        <v>96</v>
      </c>
      <c r="B105" s="3">
        <f t="shared" si="6"/>
        <v>711438.0299</v>
      </c>
      <c r="C105" s="3">
        <f t="shared" si="1"/>
        <v>1482.162562</v>
      </c>
      <c r="D105" s="3">
        <f t="shared" si="2"/>
        <v>2073.925527</v>
      </c>
      <c r="E105" s="3">
        <f t="shared" si="3"/>
        <v>3556.088089</v>
      </c>
      <c r="F105" s="3"/>
      <c r="G105" s="3">
        <f t="shared" si="4"/>
        <v>709364.1044</v>
      </c>
    </row>
    <row r="106" ht="15.75" customHeight="1">
      <c r="A106" s="1">
        <f t="shared" si="5"/>
        <v>97</v>
      </c>
      <c r="B106" s="3">
        <f t="shared" si="6"/>
        <v>709364.1044</v>
      </c>
      <c r="C106" s="3">
        <f t="shared" si="1"/>
        <v>1477.841884</v>
      </c>
      <c r="D106" s="3">
        <f t="shared" si="2"/>
        <v>2078.246205</v>
      </c>
      <c r="E106" s="3">
        <f t="shared" si="3"/>
        <v>3556.088089</v>
      </c>
      <c r="F106" s="3"/>
      <c r="G106" s="3">
        <f t="shared" si="4"/>
        <v>707285.8582</v>
      </c>
    </row>
    <row r="107" ht="15.75" customHeight="1">
      <c r="A107" s="1">
        <f t="shared" si="5"/>
        <v>98</v>
      </c>
      <c r="B107" s="3">
        <f t="shared" si="6"/>
        <v>707285.8582</v>
      </c>
      <c r="C107" s="3">
        <f t="shared" si="1"/>
        <v>1473.512205</v>
      </c>
      <c r="D107" s="3">
        <f t="shared" si="2"/>
        <v>2082.575885</v>
      </c>
      <c r="E107" s="3">
        <f t="shared" si="3"/>
        <v>3556.088089</v>
      </c>
      <c r="F107" s="3"/>
      <c r="G107" s="3">
        <f t="shared" si="4"/>
        <v>705203.2823</v>
      </c>
    </row>
    <row r="108" ht="15.75" customHeight="1">
      <c r="A108" s="1">
        <f t="shared" si="5"/>
        <v>99</v>
      </c>
      <c r="B108" s="3">
        <f t="shared" si="6"/>
        <v>705203.2823</v>
      </c>
      <c r="C108" s="3">
        <f t="shared" si="1"/>
        <v>1469.173505</v>
      </c>
      <c r="D108" s="3">
        <f t="shared" si="2"/>
        <v>2086.914585</v>
      </c>
      <c r="E108" s="3">
        <f t="shared" si="3"/>
        <v>3556.088089</v>
      </c>
      <c r="F108" s="3"/>
      <c r="G108" s="3">
        <f t="shared" si="4"/>
        <v>703116.3677</v>
      </c>
    </row>
    <row r="109" ht="15.75" customHeight="1">
      <c r="A109" s="1">
        <f t="shared" si="5"/>
        <v>100</v>
      </c>
      <c r="B109" s="3">
        <f t="shared" si="6"/>
        <v>703116.3677</v>
      </c>
      <c r="C109" s="3">
        <f t="shared" si="1"/>
        <v>1464.825766</v>
      </c>
      <c r="D109" s="3">
        <f t="shared" si="2"/>
        <v>2091.262323</v>
      </c>
      <c r="E109" s="3">
        <f t="shared" si="3"/>
        <v>3556.088089</v>
      </c>
      <c r="F109" s="3"/>
      <c r="G109" s="3">
        <f t="shared" si="4"/>
        <v>701025.1054</v>
      </c>
    </row>
    <row r="110" ht="15.75" customHeight="1">
      <c r="A110" s="1">
        <f t="shared" si="5"/>
        <v>101</v>
      </c>
      <c r="B110" s="3">
        <f t="shared" si="6"/>
        <v>701025.1054</v>
      </c>
      <c r="C110" s="3">
        <f t="shared" si="1"/>
        <v>1460.46897</v>
      </c>
      <c r="D110" s="3">
        <f t="shared" si="2"/>
        <v>2095.61912</v>
      </c>
      <c r="E110" s="3">
        <f t="shared" si="3"/>
        <v>3556.088089</v>
      </c>
      <c r="F110" s="3"/>
      <c r="G110" s="3">
        <f t="shared" si="4"/>
        <v>698929.4863</v>
      </c>
    </row>
    <row r="111" ht="15.75" customHeight="1">
      <c r="A111" s="1">
        <f t="shared" si="5"/>
        <v>102</v>
      </c>
      <c r="B111" s="3">
        <f t="shared" si="6"/>
        <v>698929.4863</v>
      </c>
      <c r="C111" s="3">
        <f t="shared" si="1"/>
        <v>1456.103096</v>
      </c>
      <c r="D111" s="3">
        <f t="shared" si="2"/>
        <v>2099.984993</v>
      </c>
      <c r="E111" s="3">
        <f t="shared" si="3"/>
        <v>3556.088089</v>
      </c>
      <c r="F111" s="3"/>
      <c r="G111" s="3">
        <f t="shared" si="4"/>
        <v>696829.5013</v>
      </c>
    </row>
    <row r="112" ht="15.75" customHeight="1">
      <c r="A112" s="1">
        <f t="shared" si="5"/>
        <v>103</v>
      </c>
      <c r="B112" s="3">
        <f t="shared" si="6"/>
        <v>696829.5013</v>
      </c>
      <c r="C112" s="3">
        <f t="shared" si="1"/>
        <v>1451.728128</v>
      </c>
      <c r="D112" s="3">
        <f t="shared" si="2"/>
        <v>2104.359962</v>
      </c>
      <c r="E112" s="3">
        <f t="shared" si="3"/>
        <v>3556.088089</v>
      </c>
      <c r="F112" s="3"/>
      <c r="G112" s="3">
        <f t="shared" si="4"/>
        <v>694725.1413</v>
      </c>
    </row>
    <row r="113" ht="15.75" customHeight="1">
      <c r="A113" s="1">
        <f t="shared" si="5"/>
        <v>104</v>
      </c>
      <c r="B113" s="3">
        <f t="shared" si="6"/>
        <v>694725.1413</v>
      </c>
      <c r="C113" s="3">
        <f t="shared" si="1"/>
        <v>1447.344044</v>
      </c>
      <c r="D113" s="3">
        <f t="shared" si="2"/>
        <v>2108.744045</v>
      </c>
      <c r="E113" s="3">
        <f t="shared" si="3"/>
        <v>3556.088089</v>
      </c>
      <c r="F113" s="3"/>
      <c r="G113" s="3">
        <f t="shared" si="4"/>
        <v>692616.3973</v>
      </c>
    </row>
    <row r="114" ht="15.75" customHeight="1">
      <c r="A114" s="1">
        <f t="shared" si="5"/>
        <v>105</v>
      </c>
      <c r="B114" s="3">
        <f t="shared" si="6"/>
        <v>692616.3973</v>
      </c>
      <c r="C114" s="3">
        <f t="shared" si="1"/>
        <v>1442.950828</v>
      </c>
      <c r="D114" s="3">
        <f t="shared" si="2"/>
        <v>2113.137262</v>
      </c>
      <c r="E114" s="3">
        <f t="shared" si="3"/>
        <v>3556.088089</v>
      </c>
      <c r="F114" s="3"/>
      <c r="G114" s="3">
        <f t="shared" si="4"/>
        <v>690503.26</v>
      </c>
    </row>
    <row r="115" ht="15.75" customHeight="1">
      <c r="A115" s="1">
        <f t="shared" si="5"/>
        <v>106</v>
      </c>
      <c r="B115" s="3">
        <f t="shared" si="6"/>
        <v>690503.26</v>
      </c>
      <c r="C115" s="3">
        <f t="shared" si="1"/>
        <v>1438.548458</v>
      </c>
      <c r="D115" s="3">
        <f t="shared" si="2"/>
        <v>2117.539631</v>
      </c>
      <c r="E115" s="3">
        <f t="shared" si="3"/>
        <v>3556.088089</v>
      </c>
      <c r="F115" s="3"/>
      <c r="G115" s="3">
        <f t="shared" si="4"/>
        <v>688385.7204</v>
      </c>
    </row>
    <row r="116" ht="15.75" customHeight="1">
      <c r="A116" s="1">
        <f t="shared" si="5"/>
        <v>107</v>
      </c>
      <c r="B116" s="3">
        <f t="shared" si="6"/>
        <v>688385.7204</v>
      </c>
      <c r="C116" s="3">
        <f t="shared" si="1"/>
        <v>1434.136917</v>
      </c>
      <c r="D116" s="3">
        <f t="shared" si="2"/>
        <v>2121.951172</v>
      </c>
      <c r="E116" s="3">
        <f t="shared" si="3"/>
        <v>3556.088089</v>
      </c>
      <c r="F116" s="3"/>
      <c r="G116" s="3">
        <f t="shared" si="4"/>
        <v>686263.7692</v>
      </c>
    </row>
    <row r="117" ht="15.75" customHeight="1">
      <c r="A117" s="1">
        <f t="shared" si="5"/>
        <v>108</v>
      </c>
      <c r="B117" s="3">
        <f t="shared" si="6"/>
        <v>686263.7692</v>
      </c>
      <c r="C117" s="3">
        <f t="shared" si="1"/>
        <v>1429.716186</v>
      </c>
      <c r="D117" s="3">
        <f t="shared" si="2"/>
        <v>2126.371904</v>
      </c>
      <c r="E117" s="3">
        <f t="shared" si="3"/>
        <v>3556.088089</v>
      </c>
      <c r="F117" s="3"/>
      <c r="G117" s="3">
        <f t="shared" si="4"/>
        <v>684137.3973</v>
      </c>
    </row>
    <row r="118" ht="15.75" customHeight="1">
      <c r="A118" s="1">
        <f t="shared" si="5"/>
        <v>109</v>
      </c>
      <c r="B118" s="3">
        <f t="shared" si="6"/>
        <v>684137.3973</v>
      </c>
      <c r="C118" s="3">
        <f t="shared" si="1"/>
        <v>1425.286244</v>
      </c>
      <c r="D118" s="3">
        <f t="shared" si="2"/>
        <v>2130.801845</v>
      </c>
      <c r="E118" s="3">
        <f t="shared" si="3"/>
        <v>3556.088089</v>
      </c>
      <c r="F118" s="3"/>
      <c r="G118" s="3">
        <f t="shared" si="4"/>
        <v>682006.5954</v>
      </c>
    </row>
    <row r="119" ht="15.75" customHeight="1">
      <c r="A119" s="1">
        <f t="shared" si="5"/>
        <v>110</v>
      </c>
      <c r="B119" s="3">
        <f t="shared" si="6"/>
        <v>682006.5954</v>
      </c>
      <c r="C119" s="3">
        <f t="shared" si="1"/>
        <v>1420.847074</v>
      </c>
      <c r="D119" s="3">
        <f t="shared" si="2"/>
        <v>2135.241016</v>
      </c>
      <c r="E119" s="3">
        <f t="shared" si="3"/>
        <v>3556.088089</v>
      </c>
      <c r="F119" s="3"/>
      <c r="G119" s="3">
        <f t="shared" si="4"/>
        <v>679871.3544</v>
      </c>
    </row>
    <row r="120" ht="15.75" customHeight="1">
      <c r="A120" s="1">
        <f t="shared" si="5"/>
        <v>111</v>
      </c>
      <c r="B120" s="3">
        <f t="shared" si="6"/>
        <v>679871.3544</v>
      </c>
      <c r="C120" s="3">
        <f t="shared" si="1"/>
        <v>1416.398655</v>
      </c>
      <c r="D120" s="3">
        <f t="shared" si="2"/>
        <v>2139.689434</v>
      </c>
      <c r="E120" s="3">
        <f t="shared" si="3"/>
        <v>3556.088089</v>
      </c>
      <c r="F120" s="3"/>
      <c r="G120" s="3">
        <f t="shared" si="4"/>
        <v>677731.665</v>
      </c>
    </row>
    <row r="121" ht="15.75" customHeight="1">
      <c r="A121" s="1">
        <f t="shared" si="5"/>
        <v>112</v>
      </c>
      <c r="B121" s="3">
        <f t="shared" si="6"/>
        <v>677731.665</v>
      </c>
      <c r="C121" s="3">
        <f t="shared" si="1"/>
        <v>1411.940969</v>
      </c>
      <c r="D121" s="3">
        <f t="shared" si="2"/>
        <v>2144.147121</v>
      </c>
      <c r="E121" s="3">
        <f t="shared" si="3"/>
        <v>3556.088089</v>
      </c>
      <c r="F121" s="3"/>
      <c r="G121" s="3">
        <f t="shared" si="4"/>
        <v>675587.5179</v>
      </c>
    </row>
    <row r="122" ht="15.75" customHeight="1">
      <c r="A122" s="1">
        <f t="shared" si="5"/>
        <v>113</v>
      </c>
      <c r="B122" s="3">
        <f t="shared" si="6"/>
        <v>675587.5179</v>
      </c>
      <c r="C122" s="3">
        <f t="shared" si="1"/>
        <v>1407.473996</v>
      </c>
      <c r="D122" s="3">
        <f t="shared" si="2"/>
        <v>2148.614094</v>
      </c>
      <c r="E122" s="3">
        <f t="shared" si="3"/>
        <v>3556.088089</v>
      </c>
      <c r="F122" s="3"/>
      <c r="G122" s="3">
        <f t="shared" si="4"/>
        <v>673438.9038</v>
      </c>
    </row>
    <row r="123" ht="15.75" customHeight="1">
      <c r="A123" s="1">
        <f t="shared" si="5"/>
        <v>114</v>
      </c>
      <c r="B123" s="3">
        <f t="shared" si="6"/>
        <v>673438.9038</v>
      </c>
      <c r="C123" s="3">
        <f t="shared" si="1"/>
        <v>1402.997716</v>
      </c>
      <c r="D123" s="3">
        <f t="shared" si="2"/>
        <v>2153.090373</v>
      </c>
      <c r="E123" s="3">
        <f t="shared" si="3"/>
        <v>3556.088089</v>
      </c>
      <c r="F123" s="3"/>
      <c r="G123" s="3">
        <f t="shared" si="4"/>
        <v>671285.8134</v>
      </c>
    </row>
    <row r="124" ht="15.75" customHeight="1">
      <c r="A124" s="1">
        <f t="shared" si="5"/>
        <v>115</v>
      </c>
      <c r="B124" s="3">
        <f t="shared" si="6"/>
        <v>671285.8134</v>
      </c>
      <c r="C124" s="3">
        <f t="shared" si="1"/>
        <v>1398.512111</v>
      </c>
      <c r="D124" s="3">
        <f t="shared" si="2"/>
        <v>2157.575978</v>
      </c>
      <c r="E124" s="3">
        <f t="shared" si="3"/>
        <v>3556.088089</v>
      </c>
      <c r="F124" s="3"/>
      <c r="G124" s="3">
        <f t="shared" si="4"/>
        <v>669128.2374</v>
      </c>
    </row>
    <row r="125" ht="15.75" customHeight="1">
      <c r="A125" s="1">
        <f t="shared" si="5"/>
        <v>116</v>
      </c>
      <c r="B125" s="3">
        <f t="shared" si="6"/>
        <v>669128.2374</v>
      </c>
      <c r="C125" s="3">
        <f t="shared" si="1"/>
        <v>1394.017161</v>
      </c>
      <c r="D125" s="3">
        <f t="shared" si="2"/>
        <v>2162.070928</v>
      </c>
      <c r="E125" s="3">
        <f t="shared" si="3"/>
        <v>3556.088089</v>
      </c>
      <c r="F125" s="3"/>
      <c r="G125" s="3">
        <f t="shared" si="4"/>
        <v>666966.1665</v>
      </c>
    </row>
    <row r="126" ht="15.75" customHeight="1">
      <c r="A126" s="1">
        <f t="shared" si="5"/>
        <v>117</v>
      </c>
      <c r="B126" s="3">
        <f t="shared" si="6"/>
        <v>666966.1665</v>
      </c>
      <c r="C126" s="3">
        <f t="shared" si="1"/>
        <v>1389.512847</v>
      </c>
      <c r="D126" s="3">
        <f t="shared" si="2"/>
        <v>2166.575242</v>
      </c>
      <c r="E126" s="3">
        <f t="shared" si="3"/>
        <v>3556.088089</v>
      </c>
      <c r="F126" s="3"/>
      <c r="G126" s="3">
        <f t="shared" si="4"/>
        <v>664799.5913</v>
      </c>
    </row>
    <row r="127" ht="15.75" customHeight="1">
      <c r="A127" s="1">
        <f t="shared" si="5"/>
        <v>118</v>
      </c>
      <c r="B127" s="3">
        <f t="shared" si="6"/>
        <v>664799.5913</v>
      </c>
      <c r="C127" s="3">
        <f t="shared" si="1"/>
        <v>1384.999148</v>
      </c>
      <c r="D127" s="3">
        <f t="shared" si="2"/>
        <v>2171.088941</v>
      </c>
      <c r="E127" s="3">
        <f t="shared" si="3"/>
        <v>3556.088089</v>
      </c>
      <c r="F127" s="3"/>
      <c r="G127" s="3">
        <f t="shared" si="4"/>
        <v>662628.5023</v>
      </c>
    </row>
    <row r="128" ht="15.75" customHeight="1">
      <c r="A128" s="1">
        <f t="shared" si="5"/>
        <v>119</v>
      </c>
      <c r="B128" s="3">
        <f t="shared" si="6"/>
        <v>662628.5023</v>
      </c>
      <c r="C128" s="3">
        <f t="shared" si="1"/>
        <v>1380.476046</v>
      </c>
      <c r="D128" s="3">
        <f t="shared" si="2"/>
        <v>2175.612043</v>
      </c>
      <c r="E128" s="3">
        <f t="shared" si="3"/>
        <v>3556.088089</v>
      </c>
      <c r="F128" s="3"/>
      <c r="G128" s="3">
        <f t="shared" si="4"/>
        <v>660452.8903</v>
      </c>
    </row>
    <row r="129" ht="15.75" customHeight="1">
      <c r="A129" s="1">
        <f t="shared" si="5"/>
        <v>120</v>
      </c>
      <c r="B129" s="3">
        <f t="shared" si="6"/>
        <v>660452.8903</v>
      </c>
      <c r="C129" s="3">
        <f t="shared" si="1"/>
        <v>1375.943521</v>
      </c>
      <c r="D129" s="3">
        <f t="shared" si="2"/>
        <v>2180.144568</v>
      </c>
      <c r="E129" s="3">
        <f t="shared" si="3"/>
        <v>3556.088089</v>
      </c>
      <c r="F129" s="3"/>
      <c r="G129" s="3">
        <f t="shared" si="4"/>
        <v>658272.7457</v>
      </c>
    </row>
    <row r="130" ht="15.75" customHeight="1">
      <c r="A130" s="1">
        <f t="shared" si="5"/>
        <v>121</v>
      </c>
      <c r="B130" s="3">
        <f t="shared" si="6"/>
        <v>658272.7457</v>
      </c>
      <c r="C130" s="3">
        <f t="shared" si="1"/>
        <v>1371.401554</v>
      </c>
      <c r="D130" s="3">
        <f t="shared" si="2"/>
        <v>2184.686536</v>
      </c>
      <c r="E130" s="3">
        <f t="shared" si="3"/>
        <v>3556.088089</v>
      </c>
      <c r="F130" s="3"/>
      <c r="G130" s="3">
        <f t="shared" si="4"/>
        <v>656088.0592</v>
      </c>
    </row>
    <row r="131" ht="15.75" customHeight="1">
      <c r="A131" s="1">
        <f t="shared" si="5"/>
        <v>122</v>
      </c>
      <c r="B131" s="3">
        <f t="shared" si="6"/>
        <v>656088.0592</v>
      </c>
      <c r="C131" s="3">
        <f t="shared" si="1"/>
        <v>1366.850123</v>
      </c>
      <c r="D131" s="3">
        <f t="shared" si="2"/>
        <v>2189.237966</v>
      </c>
      <c r="E131" s="3">
        <f t="shared" si="3"/>
        <v>3556.088089</v>
      </c>
      <c r="F131" s="3"/>
      <c r="G131" s="3">
        <f t="shared" si="4"/>
        <v>653898.8212</v>
      </c>
    </row>
    <row r="132" ht="15.75" customHeight="1">
      <c r="A132" s="1">
        <f t="shared" si="5"/>
        <v>123</v>
      </c>
      <c r="B132" s="3">
        <f t="shared" si="6"/>
        <v>653898.8212</v>
      </c>
      <c r="C132" s="3">
        <f t="shared" si="1"/>
        <v>1362.289211</v>
      </c>
      <c r="D132" s="3">
        <f t="shared" si="2"/>
        <v>2193.798879</v>
      </c>
      <c r="E132" s="3">
        <f t="shared" si="3"/>
        <v>3556.088089</v>
      </c>
      <c r="F132" s="3"/>
      <c r="G132" s="3">
        <f t="shared" si="4"/>
        <v>651705.0223</v>
      </c>
    </row>
    <row r="133" ht="15.75" customHeight="1">
      <c r="A133" s="1">
        <f t="shared" si="5"/>
        <v>124</v>
      </c>
      <c r="B133" s="3">
        <f t="shared" si="6"/>
        <v>651705.0223</v>
      </c>
      <c r="C133" s="3">
        <f t="shared" si="1"/>
        <v>1357.718796</v>
      </c>
      <c r="D133" s="3">
        <f t="shared" si="2"/>
        <v>2198.369293</v>
      </c>
      <c r="E133" s="3">
        <f t="shared" si="3"/>
        <v>3556.088089</v>
      </c>
      <c r="F133" s="3"/>
      <c r="G133" s="3">
        <f t="shared" si="4"/>
        <v>649506.653</v>
      </c>
    </row>
    <row r="134" ht="15.75" customHeight="1">
      <c r="A134" s="1">
        <f t="shared" si="5"/>
        <v>125</v>
      </c>
      <c r="B134" s="3">
        <f t="shared" si="6"/>
        <v>649506.653</v>
      </c>
      <c r="C134" s="3">
        <f t="shared" si="1"/>
        <v>1353.13886</v>
      </c>
      <c r="D134" s="3">
        <f t="shared" si="2"/>
        <v>2202.949229</v>
      </c>
      <c r="E134" s="3">
        <f t="shared" si="3"/>
        <v>3556.088089</v>
      </c>
      <c r="F134" s="3"/>
      <c r="G134" s="3">
        <f t="shared" si="4"/>
        <v>647303.7038</v>
      </c>
    </row>
    <row r="135" ht="15.75" customHeight="1">
      <c r="A135" s="1">
        <f t="shared" si="5"/>
        <v>126</v>
      </c>
      <c r="B135" s="3">
        <f t="shared" si="6"/>
        <v>647303.7038</v>
      </c>
      <c r="C135" s="3">
        <f t="shared" si="1"/>
        <v>1348.549383</v>
      </c>
      <c r="D135" s="3">
        <f t="shared" si="2"/>
        <v>2207.538706</v>
      </c>
      <c r="E135" s="3">
        <f t="shared" si="3"/>
        <v>3556.088089</v>
      </c>
      <c r="F135" s="3"/>
      <c r="G135" s="3">
        <f t="shared" si="4"/>
        <v>645096.1651</v>
      </c>
    </row>
    <row r="136" ht="15.75" customHeight="1">
      <c r="A136" s="1">
        <f t="shared" si="5"/>
        <v>127</v>
      </c>
      <c r="B136" s="3">
        <f t="shared" si="6"/>
        <v>645096.1651</v>
      </c>
      <c r="C136" s="3">
        <f t="shared" si="1"/>
        <v>1343.950344</v>
      </c>
      <c r="D136" s="3">
        <f t="shared" si="2"/>
        <v>2212.137745</v>
      </c>
      <c r="E136" s="3">
        <f t="shared" si="3"/>
        <v>3556.088089</v>
      </c>
      <c r="F136" s="3"/>
      <c r="G136" s="3">
        <f t="shared" si="4"/>
        <v>642884.0273</v>
      </c>
    </row>
    <row r="137" ht="15.75" customHeight="1">
      <c r="A137" s="1">
        <f t="shared" si="5"/>
        <v>128</v>
      </c>
      <c r="B137" s="3">
        <f t="shared" si="6"/>
        <v>642884.0273</v>
      </c>
      <c r="C137" s="3">
        <f t="shared" si="1"/>
        <v>1339.341724</v>
      </c>
      <c r="D137" s="3">
        <f t="shared" si="2"/>
        <v>2216.746366</v>
      </c>
      <c r="E137" s="3">
        <f t="shared" si="3"/>
        <v>3556.088089</v>
      </c>
      <c r="F137" s="3"/>
      <c r="G137" s="3">
        <f t="shared" si="4"/>
        <v>640667.281</v>
      </c>
    </row>
    <row r="138" ht="15.75" customHeight="1">
      <c r="A138" s="1">
        <f t="shared" si="5"/>
        <v>129</v>
      </c>
      <c r="B138" s="3">
        <f t="shared" si="6"/>
        <v>640667.281</v>
      </c>
      <c r="C138" s="3">
        <f t="shared" si="1"/>
        <v>1334.723502</v>
      </c>
      <c r="D138" s="3">
        <f t="shared" si="2"/>
        <v>2221.364587</v>
      </c>
      <c r="E138" s="3">
        <f t="shared" si="3"/>
        <v>3556.088089</v>
      </c>
      <c r="F138" s="3"/>
      <c r="G138" s="3">
        <f t="shared" si="4"/>
        <v>638445.9164</v>
      </c>
    </row>
    <row r="139" ht="15.75" customHeight="1">
      <c r="A139" s="1">
        <f t="shared" si="5"/>
        <v>130</v>
      </c>
      <c r="B139" s="3">
        <f t="shared" si="6"/>
        <v>638445.9164</v>
      </c>
      <c r="C139" s="3">
        <f t="shared" si="1"/>
        <v>1330.095659</v>
      </c>
      <c r="D139" s="3">
        <f t="shared" si="2"/>
        <v>2225.99243</v>
      </c>
      <c r="E139" s="3">
        <f t="shared" si="3"/>
        <v>3556.088089</v>
      </c>
      <c r="F139" s="3"/>
      <c r="G139" s="3">
        <f t="shared" si="4"/>
        <v>636219.924</v>
      </c>
    </row>
    <row r="140" ht="15.75" customHeight="1">
      <c r="A140" s="1">
        <f t="shared" si="5"/>
        <v>131</v>
      </c>
      <c r="B140" s="3">
        <f t="shared" si="6"/>
        <v>636219.924</v>
      </c>
      <c r="C140" s="3">
        <f t="shared" si="1"/>
        <v>1325.458175</v>
      </c>
      <c r="D140" s="3">
        <f t="shared" si="2"/>
        <v>2230.629914</v>
      </c>
      <c r="E140" s="3">
        <f t="shared" si="3"/>
        <v>3556.088089</v>
      </c>
      <c r="F140" s="3"/>
      <c r="G140" s="3">
        <f t="shared" si="4"/>
        <v>633989.294</v>
      </c>
    </row>
    <row r="141" ht="15.75" customHeight="1">
      <c r="A141" s="1">
        <f t="shared" si="5"/>
        <v>132</v>
      </c>
      <c r="B141" s="3">
        <f t="shared" si="6"/>
        <v>633989.294</v>
      </c>
      <c r="C141" s="3">
        <f t="shared" si="1"/>
        <v>1320.811029</v>
      </c>
      <c r="D141" s="3">
        <f t="shared" si="2"/>
        <v>2235.27706</v>
      </c>
      <c r="E141" s="3">
        <f t="shared" si="3"/>
        <v>3556.088089</v>
      </c>
      <c r="F141" s="3"/>
      <c r="G141" s="3">
        <f t="shared" si="4"/>
        <v>631754.017</v>
      </c>
    </row>
    <row r="142" ht="15.75" customHeight="1">
      <c r="A142" s="1">
        <f t="shared" si="5"/>
        <v>133</v>
      </c>
      <c r="B142" s="3">
        <f t="shared" si="6"/>
        <v>631754.017</v>
      </c>
      <c r="C142" s="3">
        <f t="shared" si="1"/>
        <v>1316.154202</v>
      </c>
      <c r="D142" s="3">
        <f t="shared" si="2"/>
        <v>2239.933887</v>
      </c>
      <c r="E142" s="3">
        <f t="shared" si="3"/>
        <v>3556.088089</v>
      </c>
      <c r="F142" s="3"/>
      <c r="G142" s="3">
        <f t="shared" si="4"/>
        <v>629514.0831</v>
      </c>
    </row>
    <row r="143" ht="15.75" customHeight="1">
      <c r="A143" s="1">
        <f t="shared" si="5"/>
        <v>134</v>
      </c>
      <c r="B143" s="3">
        <f t="shared" si="6"/>
        <v>629514.0831</v>
      </c>
      <c r="C143" s="3">
        <f t="shared" si="1"/>
        <v>1311.487673</v>
      </c>
      <c r="D143" s="3">
        <f t="shared" si="2"/>
        <v>2244.600416</v>
      </c>
      <c r="E143" s="3">
        <f t="shared" si="3"/>
        <v>3556.088089</v>
      </c>
      <c r="F143" s="3"/>
      <c r="G143" s="3">
        <f t="shared" si="4"/>
        <v>627269.4827</v>
      </c>
    </row>
    <row r="144" ht="15.75" customHeight="1">
      <c r="A144" s="1">
        <f t="shared" si="5"/>
        <v>135</v>
      </c>
      <c r="B144" s="3">
        <f t="shared" si="6"/>
        <v>627269.4827</v>
      </c>
      <c r="C144" s="3">
        <f t="shared" si="1"/>
        <v>1306.811422</v>
      </c>
      <c r="D144" s="3">
        <f t="shared" si="2"/>
        <v>2249.276667</v>
      </c>
      <c r="E144" s="3">
        <f t="shared" si="3"/>
        <v>3556.088089</v>
      </c>
      <c r="F144" s="3"/>
      <c r="G144" s="3">
        <f t="shared" si="4"/>
        <v>625020.206</v>
      </c>
    </row>
    <row r="145" ht="15.75" customHeight="1">
      <c r="A145" s="1">
        <f t="shared" si="5"/>
        <v>136</v>
      </c>
      <c r="B145" s="3">
        <f t="shared" si="6"/>
        <v>625020.206</v>
      </c>
      <c r="C145" s="3">
        <f t="shared" si="1"/>
        <v>1302.125429</v>
      </c>
      <c r="D145" s="3">
        <f t="shared" si="2"/>
        <v>2253.96266</v>
      </c>
      <c r="E145" s="3">
        <f t="shared" si="3"/>
        <v>3556.088089</v>
      </c>
      <c r="F145" s="3"/>
      <c r="G145" s="3">
        <f t="shared" si="4"/>
        <v>622766.2434</v>
      </c>
    </row>
    <row r="146" ht="15.75" customHeight="1">
      <c r="A146" s="1">
        <f t="shared" si="5"/>
        <v>137</v>
      </c>
      <c r="B146" s="3">
        <f t="shared" si="6"/>
        <v>622766.2434</v>
      </c>
      <c r="C146" s="3">
        <f t="shared" si="1"/>
        <v>1297.429674</v>
      </c>
      <c r="D146" s="3">
        <f t="shared" si="2"/>
        <v>2258.658416</v>
      </c>
      <c r="E146" s="3">
        <f t="shared" si="3"/>
        <v>3556.088089</v>
      </c>
      <c r="F146" s="3"/>
      <c r="G146" s="3">
        <f t="shared" si="4"/>
        <v>620507.5849</v>
      </c>
    </row>
    <row r="147" ht="15.75" customHeight="1">
      <c r="A147" s="1">
        <f t="shared" si="5"/>
        <v>138</v>
      </c>
      <c r="B147" s="3">
        <f t="shared" si="6"/>
        <v>620507.5849</v>
      </c>
      <c r="C147" s="3">
        <f t="shared" si="1"/>
        <v>1292.724135</v>
      </c>
      <c r="D147" s="3">
        <f t="shared" si="2"/>
        <v>2263.363954</v>
      </c>
      <c r="E147" s="3">
        <f t="shared" si="3"/>
        <v>3556.088089</v>
      </c>
      <c r="F147" s="3"/>
      <c r="G147" s="3">
        <f t="shared" si="4"/>
        <v>618244.221</v>
      </c>
    </row>
    <row r="148" ht="15.75" customHeight="1">
      <c r="A148" s="1">
        <f t="shared" si="5"/>
        <v>139</v>
      </c>
      <c r="B148" s="3">
        <f t="shared" si="6"/>
        <v>618244.221</v>
      </c>
      <c r="C148" s="3">
        <f t="shared" si="1"/>
        <v>1288.008794</v>
      </c>
      <c r="D148" s="3">
        <f t="shared" si="2"/>
        <v>2268.079296</v>
      </c>
      <c r="E148" s="3">
        <f t="shared" si="3"/>
        <v>3556.088089</v>
      </c>
      <c r="F148" s="3"/>
      <c r="G148" s="3">
        <f t="shared" si="4"/>
        <v>615976.1417</v>
      </c>
    </row>
    <row r="149" ht="15.75" customHeight="1">
      <c r="A149" s="1">
        <f t="shared" si="5"/>
        <v>140</v>
      </c>
      <c r="B149" s="3">
        <f t="shared" si="6"/>
        <v>615976.1417</v>
      </c>
      <c r="C149" s="3">
        <f t="shared" si="1"/>
        <v>1283.283629</v>
      </c>
      <c r="D149" s="3">
        <f t="shared" si="2"/>
        <v>2272.804461</v>
      </c>
      <c r="E149" s="3">
        <f t="shared" si="3"/>
        <v>3556.088089</v>
      </c>
      <c r="F149" s="3"/>
      <c r="G149" s="3">
        <f t="shared" si="4"/>
        <v>613703.3372</v>
      </c>
    </row>
    <row r="150" ht="15.75" customHeight="1">
      <c r="A150" s="1">
        <f t="shared" si="5"/>
        <v>141</v>
      </c>
      <c r="B150" s="3">
        <f t="shared" si="6"/>
        <v>613703.3372</v>
      </c>
      <c r="C150" s="3">
        <f t="shared" si="1"/>
        <v>1278.548619</v>
      </c>
      <c r="D150" s="3">
        <f t="shared" si="2"/>
        <v>2277.53947</v>
      </c>
      <c r="E150" s="3">
        <f t="shared" si="3"/>
        <v>3556.088089</v>
      </c>
      <c r="F150" s="3"/>
      <c r="G150" s="3">
        <f t="shared" si="4"/>
        <v>611425.7978</v>
      </c>
    </row>
    <row r="151" ht="15.75" customHeight="1">
      <c r="A151" s="1">
        <f t="shared" si="5"/>
        <v>142</v>
      </c>
      <c r="B151" s="3">
        <f t="shared" si="6"/>
        <v>611425.7978</v>
      </c>
      <c r="C151" s="3">
        <f t="shared" si="1"/>
        <v>1273.803745</v>
      </c>
      <c r="D151" s="3">
        <f t="shared" si="2"/>
        <v>2282.284344</v>
      </c>
      <c r="E151" s="3">
        <f t="shared" si="3"/>
        <v>3556.088089</v>
      </c>
      <c r="F151" s="3"/>
      <c r="G151" s="3">
        <f t="shared" si="4"/>
        <v>609143.5134</v>
      </c>
    </row>
    <row r="152" ht="15.75" customHeight="1">
      <c r="A152" s="1">
        <f t="shared" si="5"/>
        <v>143</v>
      </c>
      <c r="B152" s="3">
        <f t="shared" si="6"/>
        <v>609143.5134</v>
      </c>
      <c r="C152" s="3">
        <f t="shared" si="1"/>
        <v>1269.048986</v>
      </c>
      <c r="D152" s="3">
        <f t="shared" si="2"/>
        <v>2287.039103</v>
      </c>
      <c r="E152" s="3">
        <f t="shared" si="3"/>
        <v>3556.088089</v>
      </c>
      <c r="F152" s="3"/>
      <c r="G152" s="3">
        <f t="shared" si="4"/>
        <v>606856.4743</v>
      </c>
    </row>
    <row r="153" ht="15.75" customHeight="1">
      <c r="A153" s="1">
        <f t="shared" si="5"/>
        <v>144</v>
      </c>
      <c r="B153" s="3">
        <f t="shared" si="6"/>
        <v>606856.4743</v>
      </c>
      <c r="C153" s="3">
        <f t="shared" si="1"/>
        <v>1264.284321</v>
      </c>
      <c r="D153" s="3">
        <f t="shared" si="2"/>
        <v>2291.803768</v>
      </c>
      <c r="E153" s="3">
        <f t="shared" si="3"/>
        <v>3556.088089</v>
      </c>
      <c r="F153" s="3"/>
      <c r="G153" s="3">
        <f t="shared" si="4"/>
        <v>604564.6705</v>
      </c>
    </row>
    <row r="154" ht="15.75" customHeight="1">
      <c r="A154" s="1">
        <f t="shared" si="5"/>
        <v>145</v>
      </c>
      <c r="B154" s="3">
        <f t="shared" si="6"/>
        <v>604564.6705</v>
      </c>
      <c r="C154" s="3">
        <f t="shared" si="1"/>
        <v>1259.50973</v>
      </c>
      <c r="D154" s="3">
        <f t="shared" si="2"/>
        <v>2296.578359</v>
      </c>
      <c r="E154" s="3">
        <f t="shared" si="3"/>
        <v>3556.088089</v>
      </c>
      <c r="F154" s="3"/>
      <c r="G154" s="3">
        <f t="shared" si="4"/>
        <v>602268.0922</v>
      </c>
    </row>
    <row r="155" ht="15.75" customHeight="1">
      <c r="A155" s="1">
        <f t="shared" si="5"/>
        <v>146</v>
      </c>
      <c r="B155" s="3">
        <f t="shared" si="6"/>
        <v>602268.0922</v>
      </c>
      <c r="C155" s="3">
        <f t="shared" si="1"/>
        <v>1254.725192</v>
      </c>
      <c r="D155" s="3">
        <f t="shared" si="2"/>
        <v>2301.362897</v>
      </c>
      <c r="E155" s="3">
        <f t="shared" si="3"/>
        <v>3556.088089</v>
      </c>
      <c r="F155" s="3"/>
      <c r="G155" s="3">
        <f t="shared" si="4"/>
        <v>599966.7293</v>
      </c>
    </row>
    <row r="156" ht="15.75" customHeight="1">
      <c r="A156" s="1">
        <f t="shared" si="5"/>
        <v>147</v>
      </c>
      <c r="B156" s="3">
        <f t="shared" si="6"/>
        <v>599966.7293</v>
      </c>
      <c r="C156" s="3">
        <f t="shared" si="1"/>
        <v>1249.930686</v>
      </c>
      <c r="D156" s="3">
        <f t="shared" si="2"/>
        <v>2306.157403</v>
      </c>
      <c r="E156" s="3">
        <f t="shared" si="3"/>
        <v>3556.088089</v>
      </c>
      <c r="F156" s="3"/>
      <c r="G156" s="3">
        <f t="shared" si="4"/>
        <v>597660.5719</v>
      </c>
    </row>
    <row r="157" ht="15.75" customHeight="1">
      <c r="A157" s="1">
        <f t="shared" si="5"/>
        <v>148</v>
      </c>
      <c r="B157" s="3">
        <f t="shared" si="6"/>
        <v>597660.5719</v>
      </c>
      <c r="C157" s="3">
        <f t="shared" si="1"/>
        <v>1245.126191</v>
      </c>
      <c r="D157" s="3">
        <f t="shared" si="2"/>
        <v>2310.961898</v>
      </c>
      <c r="E157" s="3">
        <f t="shared" si="3"/>
        <v>3556.088089</v>
      </c>
      <c r="F157" s="3"/>
      <c r="G157" s="3">
        <f t="shared" si="4"/>
        <v>595349.61</v>
      </c>
    </row>
    <row r="158" ht="15.75" customHeight="1">
      <c r="A158" s="1">
        <f t="shared" si="5"/>
        <v>149</v>
      </c>
      <c r="B158" s="3">
        <f t="shared" si="6"/>
        <v>595349.61</v>
      </c>
      <c r="C158" s="3">
        <f t="shared" si="1"/>
        <v>1240.311687</v>
      </c>
      <c r="D158" s="3">
        <f t="shared" si="2"/>
        <v>2315.776402</v>
      </c>
      <c r="E158" s="3">
        <f t="shared" si="3"/>
        <v>3556.088089</v>
      </c>
      <c r="F158" s="3"/>
      <c r="G158" s="3">
        <f t="shared" si="4"/>
        <v>593033.8336</v>
      </c>
    </row>
    <row r="159" ht="15.75" customHeight="1">
      <c r="A159" s="1">
        <f t="shared" si="5"/>
        <v>150</v>
      </c>
      <c r="B159" s="3">
        <f t="shared" si="6"/>
        <v>593033.8336</v>
      </c>
      <c r="C159" s="3">
        <f t="shared" si="1"/>
        <v>1235.487153</v>
      </c>
      <c r="D159" s="3">
        <f t="shared" si="2"/>
        <v>2320.600936</v>
      </c>
      <c r="E159" s="3">
        <f t="shared" si="3"/>
        <v>3556.088089</v>
      </c>
      <c r="F159" s="3"/>
      <c r="G159" s="3">
        <f t="shared" si="4"/>
        <v>590713.2327</v>
      </c>
    </row>
    <row r="160" ht="15.75" customHeight="1">
      <c r="A160" s="1">
        <f t="shared" si="5"/>
        <v>151</v>
      </c>
      <c r="B160" s="3">
        <f t="shared" si="6"/>
        <v>590713.2327</v>
      </c>
      <c r="C160" s="3">
        <f t="shared" si="1"/>
        <v>1230.652568</v>
      </c>
      <c r="D160" s="3">
        <f t="shared" si="2"/>
        <v>2325.435521</v>
      </c>
      <c r="E160" s="3">
        <f t="shared" si="3"/>
        <v>3556.088089</v>
      </c>
      <c r="F160" s="3"/>
      <c r="G160" s="3">
        <f t="shared" si="4"/>
        <v>588387.7971</v>
      </c>
    </row>
    <row r="161" ht="15.75" customHeight="1">
      <c r="A161" s="1">
        <f t="shared" si="5"/>
        <v>152</v>
      </c>
      <c r="B161" s="3">
        <f t="shared" si="6"/>
        <v>588387.7971</v>
      </c>
      <c r="C161" s="3">
        <f t="shared" si="1"/>
        <v>1225.807911</v>
      </c>
      <c r="D161" s="3">
        <f t="shared" si="2"/>
        <v>2330.280179</v>
      </c>
      <c r="E161" s="3">
        <f t="shared" si="3"/>
        <v>3556.088089</v>
      </c>
      <c r="F161" s="3"/>
      <c r="G161" s="3">
        <f t="shared" si="4"/>
        <v>586057.517</v>
      </c>
    </row>
    <row r="162" ht="15.75" customHeight="1">
      <c r="A162" s="1">
        <f t="shared" si="5"/>
        <v>153</v>
      </c>
      <c r="B162" s="3">
        <f t="shared" si="6"/>
        <v>586057.517</v>
      </c>
      <c r="C162" s="3">
        <f t="shared" si="1"/>
        <v>1220.95316</v>
      </c>
      <c r="D162" s="3">
        <f t="shared" si="2"/>
        <v>2335.134929</v>
      </c>
      <c r="E162" s="3">
        <f t="shared" si="3"/>
        <v>3556.088089</v>
      </c>
      <c r="F162" s="3"/>
      <c r="G162" s="3">
        <f t="shared" si="4"/>
        <v>583722.382</v>
      </c>
    </row>
    <row r="163" ht="15.75" customHeight="1">
      <c r="A163" s="1">
        <f t="shared" si="5"/>
        <v>154</v>
      </c>
      <c r="B163" s="3">
        <f t="shared" si="6"/>
        <v>583722.382</v>
      </c>
      <c r="C163" s="3">
        <f t="shared" si="1"/>
        <v>1216.088296</v>
      </c>
      <c r="D163" s="3">
        <f t="shared" si="2"/>
        <v>2339.999793</v>
      </c>
      <c r="E163" s="3">
        <f t="shared" si="3"/>
        <v>3556.088089</v>
      </c>
      <c r="F163" s="3"/>
      <c r="G163" s="3">
        <f t="shared" si="4"/>
        <v>581382.3822</v>
      </c>
    </row>
    <row r="164" ht="15.75" customHeight="1">
      <c r="A164" s="1">
        <f t="shared" si="5"/>
        <v>155</v>
      </c>
      <c r="B164" s="3">
        <f t="shared" si="6"/>
        <v>581382.3822</v>
      </c>
      <c r="C164" s="3">
        <f t="shared" si="1"/>
        <v>1211.213296</v>
      </c>
      <c r="D164" s="3">
        <f t="shared" si="2"/>
        <v>2344.874793</v>
      </c>
      <c r="E164" s="3">
        <f t="shared" si="3"/>
        <v>3556.088089</v>
      </c>
      <c r="F164" s="3"/>
      <c r="G164" s="3">
        <f t="shared" si="4"/>
        <v>579037.5074</v>
      </c>
    </row>
    <row r="165" ht="15.75" customHeight="1">
      <c r="A165" s="1">
        <f t="shared" si="5"/>
        <v>156</v>
      </c>
      <c r="B165" s="3">
        <f t="shared" si="6"/>
        <v>579037.5074</v>
      </c>
      <c r="C165" s="3">
        <f t="shared" si="1"/>
        <v>1206.32814</v>
      </c>
      <c r="D165" s="3">
        <f t="shared" si="2"/>
        <v>2349.759949</v>
      </c>
      <c r="E165" s="3">
        <f t="shared" si="3"/>
        <v>3556.088089</v>
      </c>
      <c r="F165" s="3"/>
      <c r="G165" s="3">
        <f t="shared" si="4"/>
        <v>576687.7475</v>
      </c>
    </row>
    <row r="166" ht="15.75" customHeight="1">
      <c r="A166" s="1">
        <f t="shared" si="5"/>
        <v>157</v>
      </c>
      <c r="B166" s="3">
        <f t="shared" si="6"/>
        <v>576687.7475</v>
      </c>
      <c r="C166" s="3">
        <f t="shared" si="1"/>
        <v>1201.432807</v>
      </c>
      <c r="D166" s="3">
        <f t="shared" si="2"/>
        <v>2354.655282</v>
      </c>
      <c r="E166" s="3">
        <f t="shared" si="3"/>
        <v>3556.088089</v>
      </c>
      <c r="F166" s="3"/>
      <c r="G166" s="3">
        <f t="shared" si="4"/>
        <v>574333.0922</v>
      </c>
    </row>
    <row r="167" ht="15.75" customHeight="1">
      <c r="A167" s="1">
        <f t="shared" si="5"/>
        <v>158</v>
      </c>
      <c r="B167" s="3">
        <f t="shared" si="6"/>
        <v>574333.0922</v>
      </c>
      <c r="C167" s="3">
        <f t="shared" si="1"/>
        <v>1196.527275</v>
      </c>
      <c r="D167" s="3">
        <f t="shared" si="2"/>
        <v>2359.560814</v>
      </c>
      <c r="E167" s="3">
        <f t="shared" si="3"/>
        <v>3556.088089</v>
      </c>
      <c r="F167" s="3"/>
      <c r="G167" s="3">
        <f t="shared" si="4"/>
        <v>571973.5314</v>
      </c>
    </row>
    <row r="168" ht="15.75" customHeight="1">
      <c r="A168" s="1">
        <f t="shared" si="5"/>
        <v>159</v>
      </c>
      <c r="B168" s="3">
        <f t="shared" si="6"/>
        <v>571973.5314</v>
      </c>
      <c r="C168" s="3">
        <f t="shared" si="1"/>
        <v>1191.611524</v>
      </c>
      <c r="D168" s="3">
        <f t="shared" si="2"/>
        <v>2364.476566</v>
      </c>
      <c r="E168" s="3">
        <f t="shared" si="3"/>
        <v>3556.088089</v>
      </c>
      <c r="F168" s="3"/>
      <c r="G168" s="3">
        <f t="shared" si="4"/>
        <v>569609.0548</v>
      </c>
    </row>
    <row r="169" ht="15.75" customHeight="1">
      <c r="A169" s="1">
        <f t="shared" si="5"/>
        <v>160</v>
      </c>
      <c r="B169" s="3">
        <f t="shared" si="6"/>
        <v>569609.0548</v>
      </c>
      <c r="C169" s="3">
        <f t="shared" si="1"/>
        <v>1186.685531</v>
      </c>
      <c r="D169" s="3">
        <f t="shared" si="2"/>
        <v>2369.402558</v>
      </c>
      <c r="E169" s="3">
        <f t="shared" si="3"/>
        <v>3556.088089</v>
      </c>
      <c r="F169" s="3"/>
      <c r="G169" s="3">
        <f t="shared" si="4"/>
        <v>567239.6523</v>
      </c>
    </row>
    <row r="170" ht="15.75" customHeight="1">
      <c r="A170" s="1">
        <f t="shared" si="5"/>
        <v>161</v>
      </c>
      <c r="B170" s="3">
        <f t="shared" si="6"/>
        <v>567239.6523</v>
      </c>
      <c r="C170" s="3">
        <f t="shared" si="1"/>
        <v>1181.749276</v>
      </c>
      <c r="D170" s="3">
        <f t="shared" si="2"/>
        <v>2374.338814</v>
      </c>
      <c r="E170" s="3">
        <f t="shared" si="3"/>
        <v>3556.088089</v>
      </c>
      <c r="F170" s="3"/>
      <c r="G170" s="3">
        <f t="shared" si="4"/>
        <v>564865.3135</v>
      </c>
    </row>
    <row r="171" ht="15.75" customHeight="1">
      <c r="A171" s="1">
        <f t="shared" si="5"/>
        <v>162</v>
      </c>
      <c r="B171" s="3">
        <f t="shared" si="6"/>
        <v>564865.3135</v>
      </c>
      <c r="C171" s="3">
        <f t="shared" si="1"/>
        <v>1176.802736</v>
      </c>
      <c r="D171" s="3">
        <f t="shared" si="2"/>
        <v>2379.285353</v>
      </c>
      <c r="E171" s="3">
        <f t="shared" si="3"/>
        <v>3556.088089</v>
      </c>
      <c r="F171" s="3"/>
      <c r="G171" s="3">
        <f t="shared" si="4"/>
        <v>562486.0281</v>
      </c>
    </row>
    <row r="172" ht="15.75" customHeight="1">
      <c r="A172" s="1">
        <f t="shared" si="5"/>
        <v>163</v>
      </c>
      <c r="B172" s="3">
        <f t="shared" si="6"/>
        <v>562486.0281</v>
      </c>
      <c r="C172" s="3">
        <f t="shared" si="1"/>
        <v>1171.845892</v>
      </c>
      <c r="D172" s="3">
        <f t="shared" si="2"/>
        <v>2384.242197</v>
      </c>
      <c r="E172" s="3">
        <f t="shared" si="3"/>
        <v>3556.088089</v>
      </c>
      <c r="F172" s="3"/>
      <c r="G172" s="3">
        <f t="shared" si="4"/>
        <v>560101.7859</v>
      </c>
    </row>
    <row r="173" ht="15.75" customHeight="1">
      <c r="A173" s="1">
        <f t="shared" si="5"/>
        <v>164</v>
      </c>
      <c r="B173" s="3">
        <f t="shared" si="6"/>
        <v>560101.7859</v>
      </c>
      <c r="C173" s="3">
        <f t="shared" si="1"/>
        <v>1166.878721</v>
      </c>
      <c r="D173" s="3">
        <f t="shared" si="2"/>
        <v>2389.209369</v>
      </c>
      <c r="E173" s="3">
        <f t="shared" si="3"/>
        <v>3556.088089</v>
      </c>
      <c r="F173" s="3"/>
      <c r="G173" s="3">
        <f t="shared" si="4"/>
        <v>557712.5765</v>
      </c>
    </row>
    <row r="174" ht="15.75" customHeight="1">
      <c r="A174" s="1">
        <f t="shared" si="5"/>
        <v>165</v>
      </c>
      <c r="B174" s="3">
        <f t="shared" si="6"/>
        <v>557712.5765</v>
      </c>
      <c r="C174" s="3">
        <f t="shared" si="1"/>
        <v>1161.901201</v>
      </c>
      <c r="D174" s="3">
        <f t="shared" si="2"/>
        <v>2394.186888</v>
      </c>
      <c r="E174" s="3">
        <f t="shared" si="3"/>
        <v>3556.088089</v>
      </c>
      <c r="F174" s="3"/>
      <c r="G174" s="3">
        <f t="shared" si="4"/>
        <v>555318.3896</v>
      </c>
    </row>
    <row r="175" ht="15.75" customHeight="1">
      <c r="A175" s="1">
        <f t="shared" si="5"/>
        <v>166</v>
      </c>
      <c r="B175" s="3">
        <f t="shared" si="6"/>
        <v>555318.3896</v>
      </c>
      <c r="C175" s="3">
        <f t="shared" si="1"/>
        <v>1156.913312</v>
      </c>
      <c r="D175" s="3">
        <f t="shared" si="2"/>
        <v>2399.174778</v>
      </c>
      <c r="E175" s="3">
        <f t="shared" si="3"/>
        <v>3556.088089</v>
      </c>
      <c r="F175" s="3"/>
      <c r="G175" s="3">
        <f t="shared" si="4"/>
        <v>552919.2149</v>
      </c>
    </row>
    <row r="176" ht="15.75" customHeight="1">
      <c r="A176" s="1">
        <f t="shared" si="5"/>
        <v>167</v>
      </c>
      <c r="B176" s="3">
        <f t="shared" si="6"/>
        <v>552919.2149</v>
      </c>
      <c r="C176" s="3">
        <f t="shared" si="1"/>
        <v>1151.915031</v>
      </c>
      <c r="D176" s="3">
        <f t="shared" si="2"/>
        <v>2404.173058</v>
      </c>
      <c r="E176" s="3">
        <f t="shared" si="3"/>
        <v>3556.088089</v>
      </c>
      <c r="F176" s="3"/>
      <c r="G176" s="3">
        <f t="shared" si="4"/>
        <v>550515.0418</v>
      </c>
    </row>
    <row r="177" ht="15.75" customHeight="1">
      <c r="A177" s="1">
        <f t="shared" si="5"/>
        <v>168</v>
      </c>
      <c r="B177" s="3">
        <f t="shared" si="6"/>
        <v>550515.0418</v>
      </c>
      <c r="C177" s="3">
        <f t="shared" si="1"/>
        <v>1146.906337</v>
      </c>
      <c r="D177" s="3">
        <f t="shared" si="2"/>
        <v>2409.181752</v>
      </c>
      <c r="E177" s="3">
        <f t="shared" si="3"/>
        <v>3556.088089</v>
      </c>
      <c r="F177" s="3"/>
      <c r="G177" s="3">
        <f t="shared" si="4"/>
        <v>548105.8601</v>
      </c>
    </row>
    <row r="178" ht="15.75" customHeight="1">
      <c r="A178" s="1">
        <f t="shared" si="5"/>
        <v>169</v>
      </c>
      <c r="B178" s="3">
        <f t="shared" si="6"/>
        <v>548105.8601</v>
      </c>
      <c r="C178" s="3">
        <f t="shared" si="1"/>
        <v>1141.887208</v>
      </c>
      <c r="D178" s="3">
        <f t="shared" si="2"/>
        <v>2414.200881</v>
      </c>
      <c r="E178" s="3">
        <f t="shared" si="3"/>
        <v>3556.088089</v>
      </c>
      <c r="F178" s="3"/>
      <c r="G178" s="3">
        <f t="shared" si="4"/>
        <v>545691.6592</v>
      </c>
    </row>
    <row r="179" ht="15.75" customHeight="1">
      <c r="A179" s="1">
        <f t="shared" si="5"/>
        <v>170</v>
      </c>
      <c r="B179" s="3">
        <f t="shared" si="6"/>
        <v>545691.6592</v>
      </c>
      <c r="C179" s="3">
        <f t="shared" si="1"/>
        <v>1136.857623</v>
      </c>
      <c r="D179" s="3">
        <f t="shared" si="2"/>
        <v>2419.230466</v>
      </c>
      <c r="E179" s="3">
        <f t="shared" si="3"/>
        <v>3556.088089</v>
      </c>
      <c r="F179" s="3"/>
      <c r="G179" s="3">
        <f t="shared" si="4"/>
        <v>543272.4287</v>
      </c>
    </row>
    <row r="180" ht="15.75" customHeight="1">
      <c r="A180" s="1">
        <f t="shared" si="5"/>
        <v>171</v>
      </c>
      <c r="B180" s="3">
        <f t="shared" si="6"/>
        <v>543272.4287</v>
      </c>
      <c r="C180" s="3">
        <f t="shared" si="1"/>
        <v>1131.81756</v>
      </c>
      <c r="D180" s="3">
        <f t="shared" si="2"/>
        <v>2424.27053</v>
      </c>
      <c r="E180" s="3">
        <f t="shared" si="3"/>
        <v>3556.088089</v>
      </c>
      <c r="F180" s="3"/>
      <c r="G180" s="3">
        <f t="shared" si="4"/>
        <v>540848.1582</v>
      </c>
    </row>
    <row r="181" ht="15.75" customHeight="1">
      <c r="A181" s="1">
        <f t="shared" si="5"/>
        <v>172</v>
      </c>
      <c r="B181" s="3">
        <f t="shared" si="6"/>
        <v>540848.1582</v>
      </c>
      <c r="C181" s="3">
        <f t="shared" si="1"/>
        <v>1126.766996</v>
      </c>
      <c r="D181" s="3">
        <f t="shared" si="2"/>
        <v>2429.321093</v>
      </c>
      <c r="E181" s="3">
        <f t="shared" si="3"/>
        <v>3556.088089</v>
      </c>
      <c r="F181" s="3"/>
      <c r="G181" s="3">
        <f t="shared" si="4"/>
        <v>538418.8371</v>
      </c>
    </row>
    <row r="182" ht="15.75" customHeight="1">
      <c r="A182" s="1">
        <f t="shared" si="5"/>
        <v>173</v>
      </c>
      <c r="B182" s="3">
        <f t="shared" si="6"/>
        <v>538418.8371</v>
      </c>
      <c r="C182" s="3">
        <f t="shared" si="1"/>
        <v>1121.705911</v>
      </c>
      <c r="D182" s="3">
        <f t="shared" si="2"/>
        <v>2434.382179</v>
      </c>
      <c r="E182" s="3">
        <f t="shared" si="3"/>
        <v>3556.088089</v>
      </c>
      <c r="F182" s="3"/>
      <c r="G182" s="3">
        <f t="shared" si="4"/>
        <v>535984.4549</v>
      </c>
    </row>
    <row r="183" ht="15.75" customHeight="1">
      <c r="A183" s="1">
        <f t="shared" si="5"/>
        <v>174</v>
      </c>
      <c r="B183" s="3">
        <f t="shared" si="6"/>
        <v>535984.4549</v>
      </c>
      <c r="C183" s="3">
        <f t="shared" si="1"/>
        <v>1116.634281</v>
      </c>
      <c r="D183" s="3">
        <f t="shared" si="2"/>
        <v>2439.453808</v>
      </c>
      <c r="E183" s="3">
        <f t="shared" si="3"/>
        <v>3556.088089</v>
      </c>
      <c r="F183" s="3"/>
      <c r="G183" s="3">
        <f t="shared" si="4"/>
        <v>533545.0011</v>
      </c>
    </row>
    <row r="184" ht="15.75" customHeight="1">
      <c r="A184" s="1">
        <f t="shared" si="5"/>
        <v>175</v>
      </c>
      <c r="B184" s="3">
        <f t="shared" si="6"/>
        <v>533545.0011</v>
      </c>
      <c r="C184" s="3">
        <f t="shared" si="1"/>
        <v>1111.552086</v>
      </c>
      <c r="D184" s="3">
        <f t="shared" si="2"/>
        <v>2444.536004</v>
      </c>
      <c r="E184" s="3">
        <f t="shared" si="3"/>
        <v>3556.088089</v>
      </c>
      <c r="F184" s="3"/>
      <c r="G184" s="3">
        <f t="shared" si="4"/>
        <v>531100.4651</v>
      </c>
    </row>
    <row r="185" ht="15.75" customHeight="1">
      <c r="A185" s="1">
        <f t="shared" si="5"/>
        <v>176</v>
      </c>
      <c r="B185" s="3">
        <f t="shared" si="6"/>
        <v>531100.4651</v>
      </c>
      <c r="C185" s="3">
        <f t="shared" si="1"/>
        <v>1106.459302</v>
      </c>
      <c r="D185" s="3">
        <f t="shared" si="2"/>
        <v>2449.628787</v>
      </c>
      <c r="E185" s="3">
        <f t="shared" si="3"/>
        <v>3556.088089</v>
      </c>
      <c r="F185" s="3"/>
      <c r="G185" s="3">
        <f t="shared" si="4"/>
        <v>528650.8363</v>
      </c>
    </row>
    <row r="186" ht="15.75" customHeight="1">
      <c r="A186" s="1">
        <f t="shared" si="5"/>
        <v>177</v>
      </c>
      <c r="B186" s="3">
        <f t="shared" si="6"/>
        <v>528650.8363</v>
      </c>
      <c r="C186" s="3">
        <f t="shared" si="1"/>
        <v>1101.355909</v>
      </c>
      <c r="D186" s="3">
        <f t="shared" si="2"/>
        <v>2454.73218</v>
      </c>
      <c r="E186" s="3">
        <f t="shared" si="3"/>
        <v>3556.088089</v>
      </c>
      <c r="F186" s="3"/>
      <c r="G186" s="3">
        <f t="shared" si="4"/>
        <v>526196.1041</v>
      </c>
    </row>
    <row r="187" ht="15.75" customHeight="1">
      <c r="A187" s="1">
        <f t="shared" si="5"/>
        <v>178</v>
      </c>
      <c r="B187" s="3">
        <f t="shared" si="6"/>
        <v>526196.1041</v>
      </c>
      <c r="C187" s="3">
        <f t="shared" si="1"/>
        <v>1096.241884</v>
      </c>
      <c r="D187" s="3">
        <f t="shared" si="2"/>
        <v>2459.846206</v>
      </c>
      <c r="E187" s="3">
        <f t="shared" si="3"/>
        <v>3556.088089</v>
      </c>
      <c r="F187" s="3"/>
      <c r="G187" s="3">
        <f t="shared" si="4"/>
        <v>523736.2579</v>
      </c>
    </row>
    <row r="188" ht="15.75" customHeight="1">
      <c r="A188" s="1">
        <f t="shared" si="5"/>
        <v>179</v>
      </c>
      <c r="B188" s="3">
        <f t="shared" si="6"/>
        <v>523736.2579</v>
      </c>
      <c r="C188" s="3">
        <f t="shared" si="1"/>
        <v>1091.117204</v>
      </c>
      <c r="D188" s="3">
        <f t="shared" si="2"/>
        <v>2464.970885</v>
      </c>
      <c r="E188" s="3">
        <f t="shared" si="3"/>
        <v>3556.088089</v>
      </c>
      <c r="F188" s="3"/>
      <c r="G188" s="3">
        <f t="shared" si="4"/>
        <v>521271.287</v>
      </c>
    </row>
    <row r="189" ht="15.75" customHeight="1">
      <c r="A189" s="1">
        <f t="shared" si="5"/>
        <v>180</v>
      </c>
      <c r="B189" s="3">
        <f t="shared" si="6"/>
        <v>521271.287</v>
      </c>
      <c r="C189" s="3">
        <f t="shared" si="1"/>
        <v>1085.981848</v>
      </c>
      <c r="D189" s="3">
        <f t="shared" si="2"/>
        <v>2470.106241</v>
      </c>
      <c r="E189" s="3">
        <f t="shared" si="3"/>
        <v>3556.088089</v>
      </c>
      <c r="F189" s="3"/>
      <c r="G189" s="3">
        <f t="shared" si="4"/>
        <v>518801.1808</v>
      </c>
    </row>
    <row r="190" ht="15.75" customHeight="1">
      <c r="A190" s="1">
        <f t="shared" si="5"/>
        <v>181</v>
      </c>
      <c r="B190" s="3">
        <f t="shared" si="6"/>
        <v>518801.1808</v>
      </c>
      <c r="C190" s="3">
        <f t="shared" si="1"/>
        <v>1080.835793</v>
      </c>
      <c r="D190" s="3">
        <f t="shared" si="2"/>
        <v>2475.252296</v>
      </c>
      <c r="E190" s="3">
        <f t="shared" si="3"/>
        <v>3556.088089</v>
      </c>
      <c r="F190" s="3"/>
      <c r="G190" s="3">
        <f t="shared" si="4"/>
        <v>516325.9285</v>
      </c>
    </row>
    <row r="191" ht="15.75" customHeight="1">
      <c r="A191" s="1">
        <f t="shared" si="5"/>
        <v>182</v>
      </c>
      <c r="B191" s="3">
        <f t="shared" si="6"/>
        <v>516325.9285</v>
      </c>
      <c r="C191" s="3">
        <f t="shared" si="1"/>
        <v>1075.679018</v>
      </c>
      <c r="D191" s="3">
        <f t="shared" si="2"/>
        <v>2480.409072</v>
      </c>
      <c r="E191" s="3">
        <f t="shared" si="3"/>
        <v>3556.088089</v>
      </c>
      <c r="F191" s="3"/>
      <c r="G191" s="3">
        <f t="shared" si="4"/>
        <v>513845.5194</v>
      </c>
    </row>
    <row r="192" ht="15.75" customHeight="1">
      <c r="A192" s="1">
        <f t="shared" si="5"/>
        <v>183</v>
      </c>
      <c r="B192" s="3">
        <f t="shared" si="6"/>
        <v>513845.5194</v>
      </c>
      <c r="C192" s="3">
        <f t="shared" si="1"/>
        <v>1070.511499</v>
      </c>
      <c r="D192" s="3">
        <f t="shared" si="2"/>
        <v>2485.576591</v>
      </c>
      <c r="E192" s="3">
        <f t="shared" si="3"/>
        <v>3556.088089</v>
      </c>
      <c r="F192" s="3"/>
      <c r="G192" s="3">
        <f t="shared" si="4"/>
        <v>511359.9428</v>
      </c>
    </row>
    <row r="193" ht="15.75" customHeight="1">
      <c r="A193" s="1">
        <f t="shared" si="5"/>
        <v>184</v>
      </c>
      <c r="B193" s="3">
        <f t="shared" si="6"/>
        <v>511359.9428</v>
      </c>
      <c r="C193" s="3">
        <f t="shared" si="1"/>
        <v>1065.333214</v>
      </c>
      <c r="D193" s="3">
        <f t="shared" si="2"/>
        <v>2490.754875</v>
      </c>
      <c r="E193" s="3">
        <f t="shared" si="3"/>
        <v>3556.088089</v>
      </c>
      <c r="F193" s="3"/>
      <c r="G193" s="3">
        <f t="shared" si="4"/>
        <v>508869.188</v>
      </c>
    </row>
    <row r="194" ht="15.75" customHeight="1">
      <c r="A194" s="1">
        <f t="shared" si="5"/>
        <v>185</v>
      </c>
      <c r="B194" s="3">
        <f t="shared" si="6"/>
        <v>508869.188</v>
      </c>
      <c r="C194" s="3">
        <f t="shared" si="1"/>
        <v>1060.144142</v>
      </c>
      <c r="D194" s="3">
        <f t="shared" si="2"/>
        <v>2495.943948</v>
      </c>
      <c r="E194" s="3">
        <f t="shared" si="3"/>
        <v>3556.088089</v>
      </c>
      <c r="F194" s="3"/>
      <c r="G194" s="3">
        <f t="shared" si="4"/>
        <v>506373.244</v>
      </c>
    </row>
    <row r="195" ht="15.75" customHeight="1">
      <c r="A195" s="1">
        <f t="shared" si="5"/>
        <v>186</v>
      </c>
      <c r="B195" s="3">
        <f t="shared" si="6"/>
        <v>506373.244</v>
      </c>
      <c r="C195" s="3">
        <f t="shared" si="1"/>
        <v>1054.944258</v>
      </c>
      <c r="D195" s="3">
        <f t="shared" si="2"/>
        <v>2501.143831</v>
      </c>
      <c r="E195" s="3">
        <f t="shared" si="3"/>
        <v>3556.088089</v>
      </c>
      <c r="F195" s="3"/>
      <c r="G195" s="3">
        <f t="shared" si="4"/>
        <v>503872.1002</v>
      </c>
    </row>
    <row r="196" ht="15.75" customHeight="1">
      <c r="A196" s="1">
        <f t="shared" si="5"/>
        <v>187</v>
      </c>
      <c r="B196" s="3">
        <f t="shared" si="6"/>
        <v>503872.1002</v>
      </c>
      <c r="C196" s="3">
        <f t="shared" si="1"/>
        <v>1049.733542</v>
      </c>
      <c r="D196" s="3">
        <f t="shared" si="2"/>
        <v>2506.354547</v>
      </c>
      <c r="E196" s="3">
        <f t="shared" si="3"/>
        <v>3556.088089</v>
      </c>
      <c r="F196" s="3"/>
      <c r="G196" s="3">
        <f t="shared" si="4"/>
        <v>501365.7456</v>
      </c>
    </row>
    <row r="197" ht="15.75" customHeight="1">
      <c r="A197" s="1">
        <f t="shared" si="5"/>
        <v>188</v>
      </c>
      <c r="B197" s="3">
        <f t="shared" si="6"/>
        <v>501365.7456</v>
      </c>
      <c r="C197" s="3">
        <f t="shared" si="1"/>
        <v>1044.51197</v>
      </c>
      <c r="D197" s="3">
        <f t="shared" si="2"/>
        <v>2511.576119</v>
      </c>
      <c r="E197" s="3">
        <f t="shared" si="3"/>
        <v>3556.088089</v>
      </c>
      <c r="F197" s="3"/>
      <c r="G197" s="3">
        <f t="shared" si="4"/>
        <v>498854.1695</v>
      </c>
    </row>
    <row r="198" ht="15.75" customHeight="1">
      <c r="A198" s="1">
        <f t="shared" si="5"/>
        <v>189</v>
      </c>
      <c r="B198" s="3">
        <f t="shared" si="6"/>
        <v>498854.1695</v>
      </c>
      <c r="C198" s="3">
        <f t="shared" si="1"/>
        <v>1039.27952</v>
      </c>
      <c r="D198" s="3">
        <f t="shared" si="2"/>
        <v>2516.80857</v>
      </c>
      <c r="E198" s="3">
        <f t="shared" si="3"/>
        <v>3556.088089</v>
      </c>
      <c r="F198" s="3"/>
      <c r="G198" s="3">
        <f t="shared" si="4"/>
        <v>496337.3609</v>
      </c>
    </row>
    <row r="199" ht="15.75" customHeight="1">
      <c r="A199" s="1">
        <f t="shared" si="5"/>
        <v>190</v>
      </c>
      <c r="B199" s="3">
        <f t="shared" si="6"/>
        <v>496337.3609</v>
      </c>
      <c r="C199" s="3">
        <f t="shared" si="1"/>
        <v>1034.036169</v>
      </c>
      <c r="D199" s="3">
        <f t="shared" si="2"/>
        <v>2522.051921</v>
      </c>
      <c r="E199" s="3">
        <f t="shared" si="3"/>
        <v>3556.088089</v>
      </c>
      <c r="F199" s="3"/>
      <c r="G199" s="3">
        <f t="shared" si="4"/>
        <v>493815.309</v>
      </c>
    </row>
    <row r="200" ht="15.75" customHeight="1">
      <c r="A200" s="1">
        <f t="shared" si="5"/>
        <v>191</v>
      </c>
      <c r="B200" s="3">
        <f t="shared" si="6"/>
        <v>493815.309</v>
      </c>
      <c r="C200" s="3">
        <f t="shared" si="1"/>
        <v>1028.781894</v>
      </c>
      <c r="D200" s="3">
        <f t="shared" si="2"/>
        <v>2527.306196</v>
      </c>
      <c r="E200" s="3">
        <f t="shared" si="3"/>
        <v>3556.088089</v>
      </c>
      <c r="F200" s="3"/>
      <c r="G200" s="3">
        <f t="shared" si="4"/>
        <v>491288.0028</v>
      </c>
    </row>
    <row r="201" ht="15.75" customHeight="1">
      <c r="A201" s="1">
        <f t="shared" si="5"/>
        <v>192</v>
      </c>
      <c r="B201" s="3">
        <f t="shared" si="6"/>
        <v>491288.0028</v>
      </c>
      <c r="C201" s="3">
        <f t="shared" si="1"/>
        <v>1023.516673</v>
      </c>
      <c r="D201" s="3">
        <f t="shared" si="2"/>
        <v>2532.571417</v>
      </c>
      <c r="E201" s="3">
        <f t="shared" si="3"/>
        <v>3556.088089</v>
      </c>
      <c r="F201" s="3"/>
      <c r="G201" s="3">
        <f t="shared" si="4"/>
        <v>488755.4314</v>
      </c>
    </row>
    <row r="202" ht="15.75" customHeight="1">
      <c r="A202" s="1">
        <f t="shared" si="5"/>
        <v>193</v>
      </c>
      <c r="B202" s="3">
        <f t="shared" si="6"/>
        <v>488755.4314</v>
      </c>
      <c r="C202" s="3">
        <f t="shared" si="1"/>
        <v>1018.240482</v>
      </c>
      <c r="D202" s="3">
        <f t="shared" si="2"/>
        <v>2537.847607</v>
      </c>
      <c r="E202" s="3">
        <f t="shared" si="3"/>
        <v>3556.088089</v>
      </c>
      <c r="F202" s="3"/>
      <c r="G202" s="3">
        <f t="shared" si="4"/>
        <v>486217.5838</v>
      </c>
    </row>
    <row r="203" ht="15.75" customHeight="1">
      <c r="A203" s="1">
        <f t="shared" si="5"/>
        <v>194</v>
      </c>
      <c r="B203" s="3">
        <f t="shared" si="6"/>
        <v>486217.5838</v>
      </c>
      <c r="C203" s="3">
        <f t="shared" si="1"/>
        <v>1012.9533</v>
      </c>
      <c r="D203" s="3">
        <f t="shared" si="2"/>
        <v>2543.13479</v>
      </c>
      <c r="E203" s="3">
        <f t="shared" si="3"/>
        <v>3556.088089</v>
      </c>
      <c r="F203" s="3"/>
      <c r="G203" s="3">
        <f t="shared" si="4"/>
        <v>483674.449</v>
      </c>
    </row>
    <row r="204" ht="15.75" customHeight="1">
      <c r="A204" s="1">
        <f t="shared" si="5"/>
        <v>195</v>
      </c>
      <c r="B204" s="3">
        <f t="shared" si="6"/>
        <v>483674.449</v>
      </c>
      <c r="C204" s="3">
        <f t="shared" si="1"/>
        <v>1007.655102</v>
      </c>
      <c r="D204" s="3">
        <f t="shared" si="2"/>
        <v>2548.432987</v>
      </c>
      <c r="E204" s="3">
        <f t="shared" si="3"/>
        <v>3556.088089</v>
      </c>
      <c r="F204" s="3"/>
      <c r="G204" s="3">
        <f t="shared" si="4"/>
        <v>481126.016</v>
      </c>
    </row>
    <row r="205" ht="15.75" customHeight="1">
      <c r="A205" s="1">
        <f t="shared" si="5"/>
        <v>196</v>
      </c>
      <c r="B205" s="3">
        <f t="shared" si="6"/>
        <v>481126.016</v>
      </c>
      <c r="C205" s="3">
        <f t="shared" si="1"/>
        <v>1002.345867</v>
      </c>
      <c r="D205" s="3">
        <f t="shared" si="2"/>
        <v>2553.742223</v>
      </c>
      <c r="E205" s="3">
        <f t="shared" si="3"/>
        <v>3556.088089</v>
      </c>
      <c r="F205" s="3"/>
      <c r="G205" s="3">
        <f t="shared" si="4"/>
        <v>478572.2738</v>
      </c>
    </row>
    <row r="206" ht="15.75" customHeight="1">
      <c r="A206" s="1">
        <f t="shared" si="5"/>
        <v>197</v>
      </c>
      <c r="B206" s="3">
        <f t="shared" si="6"/>
        <v>478572.2738</v>
      </c>
      <c r="C206" s="3">
        <f t="shared" si="1"/>
        <v>997.0255704</v>
      </c>
      <c r="D206" s="3">
        <f t="shared" si="2"/>
        <v>2559.062519</v>
      </c>
      <c r="E206" s="3">
        <f t="shared" si="3"/>
        <v>3556.088089</v>
      </c>
      <c r="F206" s="3"/>
      <c r="G206" s="3">
        <f t="shared" si="4"/>
        <v>476013.2113</v>
      </c>
    </row>
    <row r="207" ht="15.75" customHeight="1">
      <c r="A207" s="1">
        <f t="shared" si="5"/>
        <v>198</v>
      </c>
      <c r="B207" s="3">
        <f t="shared" si="6"/>
        <v>476013.2113</v>
      </c>
      <c r="C207" s="3">
        <f t="shared" si="1"/>
        <v>991.6941902</v>
      </c>
      <c r="D207" s="3">
        <f t="shared" si="2"/>
        <v>2564.393899</v>
      </c>
      <c r="E207" s="3">
        <f t="shared" si="3"/>
        <v>3556.088089</v>
      </c>
      <c r="F207" s="3"/>
      <c r="G207" s="3">
        <f t="shared" si="4"/>
        <v>473448.8174</v>
      </c>
    </row>
    <row r="208" ht="15.75" customHeight="1">
      <c r="A208" s="1">
        <f t="shared" si="5"/>
        <v>199</v>
      </c>
      <c r="B208" s="3">
        <f t="shared" si="6"/>
        <v>473448.8174</v>
      </c>
      <c r="C208" s="3">
        <f t="shared" si="1"/>
        <v>986.3517029</v>
      </c>
      <c r="D208" s="3">
        <f t="shared" si="2"/>
        <v>2569.736386</v>
      </c>
      <c r="E208" s="3">
        <f t="shared" si="3"/>
        <v>3556.088089</v>
      </c>
      <c r="F208" s="3"/>
      <c r="G208" s="3">
        <f t="shared" si="4"/>
        <v>470879.081</v>
      </c>
    </row>
    <row r="209" ht="15.75" customHeight="1">
      <c r="A209" s="1">
        <f t="shared" si="5"/>
        <v>200</v>
      </c>
      <c r="B209" s="3">
        <f t="shared" si="6"/>
        <v>470879.081</v>
      </c>
      <c r="C209" s="3">
        <f t="shared" si="1"/>
        <v>980.9980854</v>
      </c>
      <c r="D209" s="3">
        <f t="shared" si="2"/>
        <v>2575.090004</v>
      </c>
      <c r="E209" s="3">
        <f t="shared" si="3"/>
        <v>3556.088089</v>
      </c>
      <c r="F209" s="3"/>
      <c r="G209" s="3">
        <f t="shared" si="4"/>
        <v>468303.991</v>
      </c>
    </row>
    <row r="210" ht="15.75" customHeight="1">
      <c r="A210" s="1">
        <f t="shared" si="5"/>
        <v>201</v>
      </c>
      <c r="B210" s="3">
        <f t="shared" si="6"/>
        <v>468303.991</v>
      </c>
      <c r="C210" s="3">
        <f t="shared" si="1"/>
        <v>975.6333146</v>
      </c>
      <c r="D210" s="3">
        <f t="shared" si="2"/>
        <v>2580.454775</v>
      </c>
      <c r="E210" s="3">
        <f t="shared" si="3"/>
        <v>3556.088089</v>
      </c>
      <c r="F210" s="3"/>
      <c r="G210" s="3">
        <f t="shared" si="4"/>
        <v>465723.5362</v>
      </c>
    </row>
    <row r="211" ht="15.75" customHeight="1">
      <c r="A211" s="1">
        <f t="shared" si="5"/>
        <v>202</v>
      </c>
      <c r="B211" s="3">
        <f t="shared" si="6"/>
        <v>465723.5362</v>
      </c>
      <c r="C211" s="3">
        <f t="shared" si="1"/>
        <v>970.2573671</v>
      </c>
      <c r="D211" s="3">
        <f t="shared" si="2"/>
        <v>2585.830722</v>
      </c>
      <c r="E211" s="3">
        <f t="shared" si="3"/>
        <v>3556.088089</v>
      </c>
      <c r="F211" s="3"/>
      <c r="G211" s="3">
        <f t="shared" si="4"/>
        <v>463137.7055</v>
      </c>
    </row>
    <row r="212" ht="15.75" customHeight="1">
      <c r="A212" s="1">
        <f t="shared" si="5"/>
        <v>203</v>
      </c>
      <c r="B212" s="3">
        <f t="shared" si="6"/>
        <v>463137.7055</v>
      </c>
      <c r="C212" s="3">
        <f t="shared" si="1"/>
        <v>964.8702198</v>
      </c>
      <c r="D212" s="3">
        <f t="shared" si="2"/>
        <v>2591.21787</v>
      </c>
      <c r="E212" s="3">
        <f t="shared" si="3"/>
        <v>3556.088089</v>
      </c>
      <c r="F212" s="3"/>
      <c r="G212" s="3">
        <f t="shared" si="4"/>
        <v>460546.4876</v>
      </c>
    </row>
    <row r="213" ht="15.75" customHeight="1">
      <c r="A213" s="1">
        <f t="shared" si="5"/>
        <v>204</v>
      </c>
      <c r="B213" s="3">
        <f t="shared" si="6"/>
        <v>460546.4876</v>
      </c>
      <c r="C213" s="3">
        <f t="shared" si="1"/>
        <v>959.4718492</v>
      </c>
      <c r="D213" s="3">
        <f t="shared" si="2"/>
        <v>2596.61624</v>
      </c>
      <c r="E213" s="3">
        <f t="shared" si="3"/>
        <v>3556.088089</v>
      </c>
      <c r="F213" s="3"/>
      <c r="G213" s="3">
        <f t="shared" si="4"/>
        <v>457949.8714</v>
      </c>
    </row>
    <row r="214" ht="15.75" customHeight="1">
      <c r="A214" s="1">
        <f t="shared" si="5"/>
        <v>205</v>
      </c>
      <c r="B214" s="3">
        <f t="shared" si="6"/>
        <v>457949.8714</v>
      </c>
      <c r="C214" s="3">
        <f t="shared" si="1"/>
        <v>954.0622321</v>
      </c>
      <c r="D214" s="3">
        <f t="shared" si="2"/>
        <v>2602.025857</v>
      </c>
      <c r="E214" s="3">
        <f t="shared" si="3"/>
        <v>3556.088089</v>
      </c>
      <c r="F214" s="3"/>
      <c r="G214" s="3">
        <f t="shared" si="4"/>
        <v>455347.8455</v>
      </c>
    </row>
    <row r="215" ht="15.75" customHeight="1">
      <c r="A215" s="1">
        <f t="shared" si="5"/>
        <v>206</v>
      </c>
      <c r="B215" s="3">
        <f t="shared" si="6"/>
        <v>455347.8455</v>
      </c>
      <c r="C215" s="3">
        <f t="shared" si="1"/>
        <v>948.6413449</v>
      </c>
      <c r="D215" s="3">
        <f t="shared" si="2"/>
        <v>2607.446744</v>
      </c>
      <c r="E215" s="3">
        <f t="shared" si="3"/>
        <v>3556.088089</v>
      </c>
      <c r="F215" s="3"/>
      <c r="G215" s="3">
        <f t="shared" si="4"/>
        <v>452740.3988</v>
      </c>
    </row>
    <row r="216" ht="15.75" customHeight="1">
      <c r="A216" s="1">
        <f t="shared" si="5"/>
        <v>207</v>
      </c>
      <c r="B216" s="3">
        <f t="shared" si="6"/>
        <v>452740.3988</v>
      </c>
      <c r="C216" s="3">
        <f t="shared" si="1"/>
        <v>943.2091641</v>
      </c>
      <c r="D216" s="3">
        <f t="shared" si="2"/>
        <v>2612.878925</v>
      </c>
      <c r="E216" s="3">
        <f t="shared" si="3"/>
        <v>3556.088089</v>
      </c>
      <c r="F216" s="3"/>
      <c r="G216" s="3">
        <f t="shared" si="4"/>
        <v>450127.5199</v>
      </c>
    </row>
    <row r="217" ht="15.75" customHeight="1">
      <c r="A217" s="1">
        <f t="shared" si="5"/>
        <v>208</v>
      </c>
      <c r="B217" s="3">
        <f t="shared" si="6"/>
        <v>450127.5199</v>
      </c>
      <c r="C217" s="3">
        <f t="shared" si="1"/>
        <v>937.7656664</v>
      </c>
      <c r="D217" s="3">
        <f t="shared" si="2"/>
        <v>2618.322423</v>
      </c>
      <c r="E217" s="3">
        <f t="shared" si="3"/>
        <v>3556.088089</v>
      </c>
      <c r="F217" s="3"/>
      <c r="G217" s="3">
        <f t="shared" si="4"/>
        <v>447509.1974</v>
      </c>
    </row>
    <row r="218" ht="15.75" customHeight="1">
      <c r="A218" s="1">
        <f t="shared" si="5"/>
        <v>209</v>
      </c>
      <c r="B218" s="3">
        <f t="shared" si="6"/>
        <v>447509.1974</v>
      </c>
      <c r="C218" s="3">
        <f t="shared" si="1"/>
        <v>932.310828</v>
      </c>
      <c r="D218" s="3">
        <f t="shared" si="2"/>
        <v>2623.777261</v>
      </c>
      <c r="E218" s="3">
        <f t="shared" si="3"/>
        <v>3556.088089</v>
      </c>
      <c r="F218" s="3"/>
      <c r="G218" s="3">
        <f t="shared" si="4"/>
        <v>444885.4202</v>
      </c>
    </row>
    <row r="219" ht="15.75" customHeight="1">
      <c r="A219" s="1">
        <f t="shared" si="5"/>
        <v>210</v>
      </c>
      <c r="B219" s="3">
        <f t="shared" si="6"/>
        <v>444885.4202</v>
      </c>
      <c r="C219" s="3">
        <f t="shared" si="1"/>
        <v>926.8446254</v>
      </c>
      <c r="D219" s="3">
        <f t="shared" si="2"/>
        <v>2629.243464</v>
      </c>
      <c r="E219" s="3">
        <f t="shared" si="3"/>
        <v>3556.088089</v>
      </c>
      <c r="F219" s="3"/>
      <c r="G219" s="3">
        <f t="shared" si="4"/>
        <v>442256.1767</v>
      </c>
    </row>
    <row r="220" ht="15.75" customHeight="1">
      <c r="A220" s="1">
        <f t="shared" si="5"/>
        <v>211</v>
      </c>
      <c r="B220" s="3">
        <f t="shared" si="6"/>
        <v>442256.1767</v>
      </c>
      <c r="C220" s="3">
        <f t="shared" si="1"/>
        <v>921.3670348</v>
      </c>
      <c r="D220" s="3">
        <f t="shared" si="2"/>
        <v>2634.721055</v>
      </c>
      <c r="E220" s="3">
        <f t="shared" si="3"/>
        <v>3556.088089</v>
      </c>
      <c r="F220" s="3"/>
      <c r="G220" s="3">
        <f t="shared" si="4"/>
        <v>439621.4557</v>
      </c>
    </row>
    <row r="221" ht="15.75" customHeight="1">
      <c r="A221" s="1">
        <f t="shared" si="5"/>
        <v>212</v>
      </c>
      <c r="B221" s="3">
        <f t="shared" si="6"/>
        <v>439621.4557</v>
      </c>
      <c r="C221" s="3">
        <f t="shared" si="1"/>
        <v>915.8780326</v>
      </c>
      <c r="D221" s="3">
        <f t="shared" si="2"/>
        <v>2640.210057</v>
      </c>
      <c r="E221" s="3">
        <f t="shared" si="3"/>
        <v>3556.088089</v>
      </c>
      <c r="F221" s="3"/>
      <c r="G221" s="3">
        <f t="shared" si="4"/>
        <v>436981.2456</v>
      </c>
    </row>
    <row r="222" ht="15.75" customHeight="1">
      <c r="A222" s="1">
        <f t="shared" si="5"/>
        <v>213</v>
      </c>
      <c r="B222" s="3">
        <f t="shared" si="6"/>
        <v>436981.2456</v>
      </c>
      <c r="C222" s="3">
        <f t="shared" si="1"/>
        <v>910.377595</v>
      </c>
      <c r="D222" s="3">
        <f t="shared" si="2"/>
        <v>2645.710494</v>
      </c>
      <c r="E222" s="3">
        <f t="shared" si="3"/>
        <v>3556.088089</v>
      </c>
      <c r="F222" s="3"/>
      <c r="G222" s="3">
        <f t="shared" si="4"/>
        <v>434335.5351</v>
      </c>
    </row>
    <row r="223" ht="15.75" customHeight="1">
      <c r="A223" s="1">
        <f t="shared" si="5"/>
        <v>214</v>
      </c>
      <c r="B223" s="3">
        <f t="shared" si="6"/>
        <v>434335.5351</v>
      </c>
      <c r="C223" s="3">
        <f t="shared" si="1"/>
        <v>904.8656982</v>
      </c>
      <c r="D223" s="3">
        <f t="shared" si="2"/>
        <v>2651.222391</v>
      </c>
      <c r="E223" s="3">
        <f t="shared" si="3"/>
        <v>3556.088089</v>
      </c>
      <c r="F223" s="3"/>
      <c r="G223" s="3">
        <f t="shared" si="4"/>
        <v>431684.3127</v>
      </c>
    </row>
    <row r="224" ht="15.75" customHeight="1">
      <c r="A224" s="1">
        <f t="shared" si="5"/>
        <v>215</v>
      </c>
      <c r="B224" s="3">
        <f t="shared" si="6"/>
        <v>431684.3127</v>
      </c>
      <c r="C224" s="3">
        <f t="shared" si="1"/>
        <v>899.3423182</v>
      </c>
      <c r="D224" s="3">
        <f t="shared" si="2"/>
        <v>2656.745771</v>
      </c>
      <c r="E224" s="3">
        <f t="shared" si="3"/>
        <v>3556.088089</v>
      </c>
      <c r="F224" s="3"/>
      <c r="G224" s="3">
        <f t="shared" si="4"/>
        <v>429027.5669</v>
      </c>
    </row>
    <row r="225" ht="15.75" customHeight="1">
      <c r="A225" s="1">
        <f t="shared" si="5"/>
        <v>216</v>
      </c>
      <c r="B225" s="3">
        <f t="shared" si="6"/>
        <v>429027.5669</v>
      </c>
      <c r="C225" s="3">
        <f t="shared" si="1"/>
        <v>893.8074311</v>
      </c>
      <c r="D225" s="3">
        <f t="shared" si="2"/>
        <v>2662.280658</v>
      </c>
      <c r="E225" s="3">
        <f t="shared" si="3"/>
        <v>3556.088089</v>
      </c>
      <c r="F225" s="3"/>
      <c r="G225" s="3">
        <f t="shared" si="4"/>
        <v>426365.2863</v>
      </c>
    </row>
    <row r="226" ht="15.75" customHeight="1">
      <c r="A226" s="1">
        <f t="shared" si="5"/>
        <v>217</v>
      </c>
      <c r="B226" s="3">
        <f t="shared" si="6"/>
        <v>426365.2863</v>
      </c>
      <c r="C226" s="3">
        <f t="shared" si="1"/>
        <v>888.2610131</v>
      </c>
      <c r="D226" s="3">
        <f t="shared" si="2"/>
        <v>2667.827076</v>
      </c>
      <c r="E226" s="3">
        <f t="shared" si="3"/>
        <v>3556.088089</v>
      </c>
      <c r="F226" s="3"/>
      <c r="G226" s="3">
        <f t="shared" si="4"/>
        <v>423697.4592</v>
      </c>
    </row>
    <row r="227" ht="15.75" customHeight="1">
      <c r="A227" s="1">
        <f t="shared" si="5"/>
        <v>218</v>
      </c>
      <c r="B227" s="3">
        <f t="shared" si="6"/>
        <v>423697.4592</v>
      </c>
      <c r="C227" s="3">
        <f t="shared" si="1"/>
        <v>882.70304</v>
      </c>
      <c r="D227" s="3">
        <f t="shared" si="2"/>
        <v>2673.385049</v>
      </c>
      <c r="E227" s="3">
        <f t="shared" si="3"/>
        <v>3556.088089</v>
      </c>
      <c r="F227" s="3"/>
      <c r="G227" s="3">
        <f t="shared" si="4"/>
        <v>421024.0742</v>
      </c>
    </row>
    <row r="228" ht="15.75" customHeight="1">
      <c r="A228" s="1">
        <f t="shared" si="5"/>
        <v>219</v>
      </c>
      <c r="B228" s="3">
        <f t="shared" si="6"/>
        <v>421024.0742</v>
      </c>
      <c r="C228" s="3">
        <f t="shared" si="1"/>
        <v>877.1334878</v>
      </c>
      <c r="D228" s="3">
        <f t="shared" si="2"/>
        <v>2678.954602</v>
      </c>
      <c r="E228" s="3">
        <f t="shared" si="3"/>
        <v>3556.088089</v>
      </c>
      <c r="F228" s="3"/>
      <c r="G228" s="3">
        <f t="shared" si="4"/>
        <v>418345.1196</v>
      </c>
    </row>
    <row r="229" ht="15.75" customHeight="1">
      <c r="A229" s="1">
        <f t="shared" si="5"/>
        <v>220</v>
      </c>
      <c r="B229" s="3">
        <f t="shared" si="6"/>
        <v>418345.1196</v>
      </c>
      <c r="C229" s="3">
        <f t="shared" si="1"/>
        <v>871.5523324</v>
      </c>
      <c r="D229" s="3">
        <f t="shared" si="2"/>
        <v>2684.535757</v>
      </c>
      <c r="E229" s="3">
        <f t="shared" si="3"/>
        <v>3556.088089</v>
      </c>
      <c r="F229" s="3"/>
      <c r="G229" s="3">
        <f t="shared" si="4"/>
        <v>415660.5838</v>
      </c>
    </row>
    <row r="230" ht="15.75" customHeight="1">
      <c r="A230" s="1">
        <f t="shared" si="5"/>
        <v>221</v>
      </c>
      <c r="B230" s="3">
        <f t="shared" si="6"/>
        <v>415660.5838</v>
      </c>
      <c r="C230" s="3">
        <f t="shared" si="1"/>
        <v>865.9595496</v>
      </c>
      <c r="D230" s="3">
        <f t="shared" si="2"/>
        <v>2690.12854</v>
      </c>
      <c r="E230" s="3">
        <f t="shared" si="3"/>
        <v>3556.088089</v>
      </c>
      <c r="F230" s="3"/>
      <c r="G230" s="3">
        <f t="shared" si="4"/>
        <v>412970.4553</v>
      </c>
    </row>
    <row r="231" ht="15.75" customHeight="1">
      <c r="A231" s="1">
        <f t="shared" si="5"/>
        <v>222</v>
      </c>
      <c r="B231" s="3">
        <f t="shared" si="6"/>
        <v>412970.4553</v>
      </c>
      <c r="C231" s="3">
        <f t="shared" si="1"/>
        <v>860.3551151</v>
      </c>
      <c r="D231" s="3">
        <f t="shared" si="2"/>
        <v>2695.732974</v>
      </c>
      <c r="E231" s="3">
        <f t="shared" si="3"/>
        <v>3556.088089</v>
      </c>
      <c r="F231" s="3"/>
      <c r="G231" s="3">
        <f t="shared" si="4"/>
        <v>410274.7223</v>
      </c>
    </row>
    <row r="232" ht="15.75" customHeight="1">
      <c r="A232" s="1">
        <f t="shared" si="5"/>
        <v>223</v>
      </c>
      <c r="B232" s="3">
        <f t="shared" si="6"/>
        <v>410274.7223</v>
      </c>
      <c r="C232" s="3">
        <f t="shared" si="1"/>
        <v>854.7390048</v>
      </c>
      <c r="D232" s="3">
        <f t="shared" si="2"/>
        <v>2701.349085</v>
      </c>
      <c r="E232" s="3">
        <f t="shared" si="3"/>
        <v>3556.088089</v>
      </c>
      <c r="F232" s="3"/>
      <c r="G232" s="3">
        <f t="shared" si="4"/>
        <v>407573.3732</v>
      </c>
    </row>
    <row r="233" ht="15.75" customHeight="1">
      <c r="A233" s="1">
        <f t="shared" si="5"/>
        <v>224</v>
      </c>
      <c r="B233" s="3">
        <f t="shared" si="6"/>
        <v>407573.3732</v>
      </c>
      <c r="C233" s="3">
        <f t="shared" si="1"/>
        <v>849.1111942</v>
      </c>
      <c r="D233" s="3">
        <f t="shared" si="2"/>
        <v>2706.976895</v>
      </c>
      <c r="E233" s="3">
        <f t="shared" si="3"/>
        <v>3556.088089</v>
      </c>
      <c r="F233" s="3"/>
      <c r="G233" s="3">
        <f t="shared" si="4"/>
        <v>404866.3963</v>
      </c>
    </row>
    <row r="234" ht="15.75" customHeight="1">
      <c r="A234" s="1">
        <f t="shared" si="5"/>
        <v>225</v>
      </c>
      <c r="B234" s="3">
        <f t="shared" si="6"/>
        <v>404866.3963</v>
      </c>
      <c r="C234" s="3">
        <f t="shared" si="1"/>
        <v>843.471659</v>
      </c>
      <c r="D234" s="3">
        <f t="shared" si="2"/>
        <v>2712.61643</v>
      </c>
      <c r="E234" s="3">
        <f t="shared" si="3"/>
        <v>3556.088089</v>
      </c>
      <c r="F234" s="3"/>
      <c r="G234" s="3">
        <f t="shared" si="4"/>
        <v>402153.7799</v>
      </c>
    </row>
    <row r="235" ht="15.75" customHeight="1">
      <c r="A235" s="1">
        <f t="shared" si="5"/>
        <v>226</v>
      </c>
      <c r="B235" s="3">
        <f t="shared" si="6"/>
        <v>402153.7799</v>
      </c>
      <c r="C235" s="3">
        <f t="shared" si="1"/>
        <v>837.8203748</v>
      </c>
      <c r="D235" s="3">
        <f t="shared" si="2"/>
        <v>2718.267715</v>
      </c>
      <c r="E235" s="3">
        <f t="shared" si="3"/>
        <v>3556.088089</v>
      </c>
      <c r="F235" s="3"/>
      <c r="G235" s="3">
        <f t="shared" si="4"/>
        <v>399435.5122</v>
      </c>
    </row>
    <row r="236" ht="15.75" customHeight="1">
      <c r="A236" s="1">
        <f t="shared" si="5"/>
        <v>227</v>
      </c>
      <c r="B236" s="3">
        <f t="shared" si="6"/>
        <v>399435.5122</v>
      </c>
      <c r="C236" s="3">
        <f t="shared" si="1"/>
        <v>832.157317</v>
      </c>
      <c r="D236" s="3">
        <f t="shared" si="2"/>
        <v>2723.930772</v>
      </c>
      <c r="E236" s="3">
        <f t="shared" si="3"/>
        <v>3556.088089</v>
      </c>
      <c r="F236" s="3"/>
      <c r="G236" s="3">
        <f t="shared" si="4"/>
        <v>396711.5814</v>
      </c>
    </row>
    <row r="237" ht="15.75" customHeight="1">
      <c r="A237" s="1">
        <f t="shared" si="5"/>
        <v>228</v>
      </c>
      <c r="B237" s="3">
        <f t="shared" si="6"/>
        <v>396711.5814</v>
      </c>
      <c r="C237" s="3">
        <f t="shared" si="1"/>
        <v>826.4824612</v>
      </c>
      <c r="D237" s="3">
        <f t="shared" si="2"/>
        <v>2729.605628</v>
      </c>
      <c r="E237" s="3">
        <f t="shared" si="3"/>
        <v>3556.088089</v>
      </c>
      <c r="F237" s="3"/>
      <c r="G237" s="3">
        <f t="shared" si="4"/>
        <v>393981.9758</v>
      </c>
    </row>
    <row r="238" ht="15.75" customHeight="1">
      <c r="A238" s="1">
        <f t="shared" si="5"/>
        <v>229</v>
      </c>
      <c r="B238" s="3">
        <f t="shared" si="6"/>
        <v>393981.9758</v>
      </c>
      <c r="C238" s="3">
        <f t="shared" si="1"/>
        <v>820.7957829</v>
      </c>
      <c r="D238" s="3">
        <f t="shared" si="2"/>
        <v>2735.292307</v>
      </c>
      <c r="E238" s="3">
        <f t="shared" si="3"/>
        <v>3556.088089</v>
      </c>
      <c r="F238" s="3"/>
      <c r="G238" s="3">
        <f t="shared" si="4"/>
        <v>391246.6835</v>
      </c>
    </row>
    <row r="239" ht="15.75" customHeight="1">
      <c r="A239" s="1">
        <f t="shared" si="5"/>
        <v>230</v>
      </c>
      <c r="B239" s="3">
        <f t="shared" si="6"/>
        <v>391246.6835</v>
      </c>
      <c r="C239" s="3">
        <f t="shared" si="1"/>
        <v>815.0972572</v>
      </c>
      <c r="D239" s="3">
        <f t="shared" si="2"/>
        <v>2740.990832</v>
      </c>
      <c r="E239" s="3">
        <f t="shared" si="3"/>
        <v>3556.088089</v>
      </c>
      <c r="F239" s="3"/>
      <c r="G239" s="3">
        <f t="shared" si="4"/>
        <v>388505.6926</v>
      </c>
    </row>
    <row r="240" ht="15.75" customHeight="1">
      <c r="A240" s="1">
        <f t="shared" si="5"/>
        <v>231</v>
      </c>
      <c r="B240" s="3">
        <f t="shared" si="6"/>
        <v>388505.6926</v>
      </c>
      <c r="C240" s="3">
        <f t="shared" si="1"/>
        <v>809.3868596</v>
      </c>
      <c r="D240" s="3">
        <f t="shared" si="2"/>
        <v>2746.70123</v>
      </c>
      <c r="E240" s="3">
        <f t="shared" si="3"/>
        <v>3556.088089</v>
      </c>
      <c r="F240" s="3"/>
      <c r="G240" s="3">
        <f t="shared" si="4"/>
        <v>385758.9914</v>
      </c>
    </row>
    <row r="241" ht="15.75" customHeight="1">
      <c r="A241" s="1">
        <f t="shared" si="5"/>
        <v>232</v>
      </c>
      <c r="B241" s="3">
        <f t="shared" si="6"/>
        <v>385758.9914</v>
      </c>
      <c r="C241" s="3">
        <f t="shared" si="1"/>
        <v>803.6645654</v>
      </c>
      <c r="D241" s="3">
        <f t="shared" si="2"/>
        <v>2752.423524</v>
      </c>
      <c r="E241" s="3">
        <f t="shared" si="3"/>
        <v>3556.088089</v>
      </c>
      <c r="F241" s="3"/>
      <c r="G241" s="3">
        <f t="shared" si="4"/>
        <v>383006.5679</v>
      </c>
    </row>
    <row r="242" ht="15.75" customHeight="1">
      <c r="A242" s="1">
        <f t="shared" si="5"/>
        <v>233</v>
      </c>
      <c r="B242" s="3">
        <f t="shared" si="6"/>
        <v>383006.5679</v>
      </c>
      <c r="C242" s="3">
        <f t="shared" si="1"/>
        <v>797.9303497</v>
      </c>
      <c r="D242" s="3">
        <f t="shared" si="2"/>
        <v>2758.15774</v>
      </c>
      <c r="E242" s="3">
        <f t="shared" si="3"/>
        <v>3556.088089</v>
      </c>
      <c r="F242" s="3"/>
      <c r="G242" s="3">
        <f t="shared" si="4"/>
        <v>380248.4101</v>
      </c>
    </row>
    <row r="243" ht="15.75" customHeight="1">
      <c r="A243" s="1">
        <f t="shared" si="5"/>
        <v>234</v>
      </c>
      <c r="B243" s="3">
        <f t="shared" si="6"/>
        <v>380248.4101</v>
      </c>
      <c r="C243" s="3">
        <f t="shared" si="1"/>
        <v>792.1841878</v>
      </c>
      <c r="D243" s="3">
        <f t="shared" si="2"/>
        <v>2763.903902</v>
      </c>
      <c r="E243" s="3">
        <f t="shared" si="3"/>
        <v>3556.088089</v>
      </c>
      <c r="F243" s="3"/>
      <c r="G243" s="3">
        <f t="shared" si="4"/>
        <v>377484.5062</v>
      </c>
    </row>
    <row r="244" ht="15.75" customHeight="1">
      <c r="A244" s="1">
        <f t="shared" si="5"/>
        <v>235</v>
      </c>
      <c r="B244" s="3">
        <f t="shared" si="6"/>
        <v>377484.5062</v>
      </c>
      <c r="C244" s="3">
        <f t="shared" si="1"/>
        <v>786.4260547</v>
      </c>
      <c r="D244" s="3">
        <f t="shared" si="2"/>
        <v>2769.662035</v>
      </c>
      <c r="E244" s="3">
        <f t="shared" si="3"/>
        <v>3556.088089</v>
      </c>
      <c r="F244" s="3"/>
      <c r="G244" s="3">
        <f t="shared" si="4"/>
        <v>374714.8442</v>
      </c>
    </row>
    <row r="245" ht="15.75" customHeight="1">
      <c r="A245" s="1">
        <f t="shared" si="5"/>
        <v>236</v>
      </c>
      <c r="B245" s="3">
        <f t="shared" si="6"/>
        <v>374714.8442</v>
      </c>
      <c r="C245" s="3">
        <f t="shared" si="1"/>
        <v>780.6559254</v>
      </c>
      <c r="D245" s="3">
        <f t="shared" si="2"/>
        <v>2775.432164</v>
      </c>
      <c r="E245" s="3">
        <f t="shared" si="3"/>
        <v>3556.088089</v>
      </c>
      <c r="F245" s="3"/>
      <c r="G245" s="3">
        <f t="shared" si="4"/>
        <v>371939.412</v>
      </c>
    </row>
    <row r="246" ht="15.75" customHeight="1">
      <c r="A246" s="1">
        <f t="shared" si="5"/>
        <v>237</v>
      </c>
      <c r="B246" s="3">
        <f t="shared" si="6"/>
        <v>371939.412</v>
      </c>
      <c r="C246" s="3">
        <f t="shared" si="1"/>
        <v>774.8737751</v>
      </c>
      <c r="D246" s="3">
        <f t="shared" si="2"/>
        <v>2781.214314</v>
      </c>
      <c r="E246" s="3">
        <f t="shared" si="3"/>
        <v>3556.088089</v>
      </c>
      <c r="F246" s="3"/>
      <c r="G246" s="3">
        <f t="shared" si="4"/>
        <v>369158.1977</v>
      </c>
    </row>
    <row r="247" ht="15.75" customHeight="1">
      <c r="A247" s="1">
        <f t="shared" si="5"/>
        <v>238</v>
      </c>
      <c r="B247" s="3">
        <f t="shared" si="6"/>
        <v>369158.1977</v>
      </c>
      <c r="C247" s="3">
        <f t="shared" si="1"/>
        <v>769.0795786</v>
      </c>
      <c r="D247" s="3">
        <f t="shared" si="2"/>
        <v>2787.008511</v>
      </c>
      <c r="E247" s="3">
        <f t="shared" si="3"/>
        <v>3556.088089</v>
      </c>
      <c r="F247" s="3"/>
      <c r="G247" s="3">
        <f t="shared" si="4"/>
        <v>366371.1892</v>
      </c>
    </row>
    <row r="248" ht="15.75" customHeight="1">
      <c r="A248" s="1">
        <f t="shared" si="5"/>
        <v>239</v>
      </c>
      <c r="B248" s="3">
        <f t="shared" si="6"/>
        <v>366371.1892</v>
      </c>
      <c r="C248" s="3">
        <f t="shared" si="1"/>
        <v>763.2733109</v>
      </c>
      <c r="D248" s="3">
        <f t="shared" si="2"/>
        <v>2792.814779</v>
      </c>
      <c r="E248" s="3">
        <f t="shared" si="3"/>
        <v>3556.088089</v>
      </c>
      <c r="F248" s="3"/>
      <c r="G248" s="3">
        <f t="shared" si="4"/>
        <v>363578.3744</v>
      </c>
    </row>
    <row r="249" ht="15.75" customHeight="1">
      <c r="A249" s="1">
        <f t="shared" si="5"/>
        <v>240</v>
      </c>
      <c r="B249" s="3">
        <f t="shared" si="6"/>
        <v>363578.3744</v>
      </c>
      <c r="C249" s="3">
        <f t="shared" si="1"/>
        <v>757.4549467</v>
      </c>
      <c r="D249" s="3">
        <f t="shared" si="2"/>
        <v>2798.633143</v>
      </c>
      <c r="E249" s="3">
        <f t="shared" si="3"/>
        <v>3556.088089</v>
      </c>
      <c r="F249" s="3"/>
      <c r="G249" s="3">
        <f t="shared" si="4"/>
        <v>360779.7413</v>
      </c>
    </row>
    <row r="250" ht="15.75" customHeight="1">
      <c r="A250" s="1">
        <f t="shared" si="5"/>
        <v>241</v>
      </c>
      <c r="B250" s="3">
        <f t="shared" si="6"/>
        <v>360779.7413</v>
      </c>
      <c r="C250" s="3">
        <f t="shared" si="1"/>
        <v>751.624461</v>
      </c>
      <c r="D250" s="3">
        <f t="shared" si="2"/>
        <v>2804.463628</v>
      </c>
      <c r="E250" s="3">
        <f t="shared" si="3"/>
        <v>3556.088089</v>
      </c>
      <c r="F250" s="3"/>
      <c r="G250" s="3">
        <f t="shared" si="4"/>
        <v>357975.2777</v>
      </c>
    </row>
    <row r="251" ht="15.75" customHeight="1">
      <c r="A251" s="1">
        <f t="shared" si="5"/>
        <v>242</v>
      </c>
      <c r="B251" s="3">
        <f t="shared" si="6"/>
        <v>357975.2777</v>
      </c>
      <c r="C251" s="3">
        <f t="shared" si="1"/>
        <v>745.7818285</v>
      </c>
      <c r="D251" s="3">
        <f t="shared" si="2"/>
        <v>2810.306261</v>
      </c>
      <c r="E251" s="3">
        <f t="shared" si="3"/>
        <v>3556.088089</v>
      </c>
      <c r="F251" s="3"/>
      <c r="G251" s="3">
        <f t="shared" si="4"/>
        <v>355164.9714</v>
      </c>
    </row>
    <row r="252" ht="15.75" customHeight="1">
      <c r="A252" s="1">
        <f t="shared" si="5"/>
        <v>243</v>
      </c>
      <c r="B252" s="3">
        <f t="shared" si="6"/>
        <v>355164.9714</v>
      </c>
      <c r="C252" s="3">
        <f t="shared" si="1"/>
        <v>739.9270238</v>
      </c>
      <c r="D252" s="3">
        <f t="shared" si="2"/>
        <v>2816.161066</v>
      </c>
      <c r="E252" s="3">
        <f t="shared" si="3"/>
        <v>3556.088089</v>
      </c>
      <c r="F252" s="3"/>
      <c r="G252" s="3">
        <f t="shared" si="4"/>
        <v>352348.8103</v>
      </c>
    </row>
    <row r="253" ht="15.75" customHeight="1">
      <c r="A253" s="1">
        <f t="shared" si="5"/>
        <v>244</v>
      </c>
      <c r="B253" s="3">
        <f t="shared" si="6"/>
        <v>352348.8103</v>
      </c>
      <c r="C253" s="3">
        <f t="shared" si="1"/>
        <v>734.0600215</v>
      </c>
      <c r="D253" s="3">
        <f t="shared" si="2"/>
        <v>2822.028068</v>
      </c>
      <c r="E253" s="3">
        <f t="shared" si="3"/>
        <v>3556.088089</v>
      </c>
      <c r="F253" s="3"/>
      <c r="G253" s="3">
        <f t="shared" si="4"/>
        <v>349526.7823</v>
      </c>
    </row>
    <row r="254" ht="15.75" customHeight="1">
      <c r="A254" s="1">
        <f t="shared" si="5"/>
        <v>245</v>
      </c>
      <c r="B254" s="3">
        <f t="shared" si="6"/>
        <v>349526.7823</v>
      </c>
      <c r="C254" s="3">
        <f t="shared" si="1"/>
        <v>728.1807964</v>
      </c>
      <c r="D254" s="3">
        <f t="shared" si="2"/>
        <v>2827.907293</v>
      </c>
      <c r="E254" s="3">
        <f t="shared" si="3"/>
        <v>3556.088089</v>
      </c>
      <c r="F254" s="3"/>
      <c r="G254" s="3">
        <f t="shared" si="4"/>
        <v>346698.875</v>
      </c>
    </row>
    <row r="255" ht="15.75" customHeight="1">
      <c r="A255" s="1">
        <f t="shared" si="5"/>
        <v>246</v>
      </c>
      <c r="B255" s="3">
        <f t="shared" si="6"/>
        <v>346698.875</v>
      </c>
      <c r="C255" s="3">
        <f t="shared" si="1"/>
        <v>722.2893229</v>
      </c>
      <c r="D255" s="3">
        <f t="shared" si="2"/>
        <v>2833.798766</v>
      </c>
      <c r="E255" s="3">
        <f t="shared" si="3"/>
        <v>3556.088089</v>
      </c>
      <c r="F255" s="3"/>
      <c r="G255" s="3">
        <f t="shared" si="4"/>
        <v>343865.0762</v>
      </c>
    </row>
    <row r="256" ht="15.75" customHeight="1">
      <c r="A256" s="1">
        <f t="shared" si="5"/>
        <v>247</v>
      </c>
      <c r="B256" s="3">
        <f t="shared" si="6"/>
        <v>343865.0762</v>
      </c>
      <c r="C256" s="3">
        <f t="shared" si="1"/>
        <v>716.3855754</v>
      </c>
      <c r="D256" s="3">
        <f t="shared" si="2"/>
        <v>2839.702514</v>
      </c>
      <c r="E256" s="3">
        <f t="shared" si="3"/>
        <v>3556.088089</v>
      </c>
      <c r="F256" s="3"/>
      <c r="G256" s="3">
        <f t="shared" si="4"/>
        <v>341025.3737</v>
      </c>
    </row>
    <row r="257" ht="15.75" customHeight="1">
      <c r="A257" s="1">
        <f t="shared" si="5"/>
        <v>248</v>
      </c>
      <c r="B257" s="3">
        <f t="shared" si="6"/>
        <v>341025.3737</v>
      </c>
      <c r="C257" s="3">
        <f t="shared" si="1"/>
        <v>710.4695285</v>
      </c>
      <c r="D257" s="3">
        <f t="shared" si="2"/>
        <v>2845.618561</v>
      </c>
      <c r="E257" s="3">
        <f t="shared" si="3"/>
        <v>3556.088089</v>
      </c>
      <c r="F257" s="3"/>
      <c r="G257" s="3">
        <f t="shared" si="4"/>
        <v>338179.7551</v>
      </c>
    </row>
    <row r="258" ht="15.75" customHeight="1">
      <c r="A258" s="1">
        <f t="shared" si="5"/>
        <v>249</v>
      </c>
      <c r="B258" s="3">
        <f t="shared" si="6"/>
        <v>338179.7551</v>
      </c>
      <c r="C258" s="3">
        <f t="shared" si="1"/>
        <v>704.5411565</v>
      </c>
      <c r="D258" s="3">
        <f t="shared" si="2"/>
        <v>2851.546933</v>
      </c>
      <c r="E258" s="3">
        <f t="shared" si="3"/>
        <v>3556.088089</v>
      </c>
      <c r="F258" s="3"/>
      <c r="G258" s="3">
        <f t="shared" si="4"/>
        <v>335328.2082</v>
      </c>
    </row>
    <row r="259" ht="15.75" customHeight="1">
      <c r="A259" s="1">
        <f t="shared" si="5"/>
        <v>250</v>
      </c>
      <c r="B259" s="3">
        <f t="shared" si="6"/>
        <v>335328.2082</v>
      </c>
      <c r="C259" s="3">
        <f t="shared" si="1"/>
        <v>698.6004338</v>
      </c>
      <c r="D259" s="3">
        <f t="shared" si="2"/>
        <v>2857.487656</v>
      </c>
      <c r="E259" s="3">
        <f t="shared" si="3"/>
        <v>3556.088089</v>
      </c>
      <c r="F259" s="3"/>
      <c r="G259" s="3">
        <f t="shared" si="4"/>
        <v>332470.7205</v>
      </c>
    </row>
    <row r="260" ht="15.75" customHeight="1">
      <c r="A260" s="1">
        <f t="shared" si="5"/>
        <v>251</v>
      </c>
      <c r="B260" s="3">
        <f t="shared" si="6"/>
        <v>332470.7205</v>
      </c>
      <c r="C260" s="3">
        <f t="shared" si="1"/>
        <v>692.6473345</v>
      </c>
      <c r="D260" s="3">
        <f t="shared" si="2"/>
        <v>2863.440755</v>
      </c>
      <c r="E260" s="3">
        <f t="shared" si="3"/>
        <v>3556.088089</v>
      </c>
      <c r="F260" s="3"/>
      <c r="G260" s="3">
        <f t="shared" si="4"/>
        <v>329607.2798</v>
      </c>
    </row>
    <row r="261" ht="15.75" customHeight="1">
      <c r="A261" s="1">
        <f t="shared" si="5"/>
        <v>252</v>
      </c>
      <c r="B261" s="3">
        <f t="shared" si="6"/>
        <v>329607.2798</v>
      </c>
      <c r="C261" s="3">
        <f t="shared" si="1"/>
        <v>686.6818329</v>
      </c>
      <c r="D261" s="3">
        <f t="shared" si="2"/>
        <v>2869.406256</v>
      </c>
      <c r="E261" s="3">
        <f t="shared" si="3"/>
        <v>3556.088089</v>
      </c>
      <c r="F261" s="3"/>
      <c r="G261" s="3">
        <f t="shared" si="4"/>
        <v>326737.8735</v>
      </c>
    </row>
    <row r="262" ht="15.75" customHeight="1">
      <c r="A262" s="1">
        <f t="shared" si="5"/>
        <v>253</v>
      </c>
      <c r="B262" s="3">
        <f t="shared" si="6"/>
        <v>326737.8735</v>
      </c>
      <c r="C262" s="3">
        <f t="shared" si="1"/>
        <v>680.7039032</v>
      </c>
      <c r="D262" s="3">
        <f t="shared" si="2"/>
        <v>2875.384186</v>
      </c>
      <c r="E262" s="3">
        <f t="shared" si="3"/>
        <v>3556.088089</v>
      </c>
      <c r="F262" s="3"/>
      <c r="G262" s="3">
        <f t="shared" si="4"/>
        <v>323862.4893</v>
      </c>
    </row>
    <row r="263" ht="15.75" customHeight="1">
      <c r="A263" s="1">
        <f t="shared" si="5"/>
        <v>254</v>
      </c>
      <c r="B263" s="3">
        <f t="shared" si="6"/>
        <v>323862.4893</v>
      </c>
      <c r="C263" s="3">
        <f t="shared" si="1"/>
        <v>674.7135195</v>
      </c>
      <c r="D263" s="3">
        <f t="shared" si="2"/>
        <v>2881.37457</v>
      </c>
      <c r="E263" s="3">
        <f t="shared" si="3"/>
        <v>3556.088089</v>
      </c>
      <c r="F263" s="3"/>
      <c r="G263" s="3">
        <f t="shared" si="4"/>
        <v>320981.1148</v>
      </c>
    </row>
    <row r="264" ht="15.75" customHeight="1">
      <c r="A264" s="1">
        <f t="shared" si="5"/>
        <v>255</v>
      </c>
      <c r="B264" s="3">
        <f t="shared" si="6"/>
        <v>320981.1148</v>
      </c>
      <c r="C264" s="3">
        <f t="shared" si="1"/>
        <v>668.7106558</v>
      </c>
      <c r="D264" s="3">
        <f t="shared" si="2"/>
        <v>2887.377434</v>
      </c>
      <c r="E264" s="3">
        <f t="shared" si="3"/>
        <v>3556.088089</v>
      </c>
      <c r="F264" s="3"/>
      <c r="G264" s="3">
        <f t="shared" si="4"/>
        <v>318093.7373</v>
      </c>
    </row>
    <row r="265" ht="15.75" customHeight="1">
      <c r="A265" s="1">
        <f t="shared" si="5"/>
        <v>256</v>
      </c>
      <c r="B265" s="3">
        <f t="shared" si="6"/>
        <v>318093.7373</v>
      </c>
      <c r="C265" s="3">
        <f t="shared" si="1"/>
        <v>662.6952861</v>
      </c>
      <c r="D265" s="3">
        <f t="shared" si="2"/>
        <v>2893.392803</v>
      </c>
      <c r="E265" s="3">
        <f t="shared" si="3"/>
        <v>3556.088089</v>
      </c>
      <c r="F265" s="3"/>
      <c r="G265" s="3">
        <f t="shared" si="4"/>
        <v>315200.3445</v>
      </c>
    </row>
    <row r="266" ht="15.75" customHeight="1">
      <c r="A266" s="1">
        <f t="shared" si="5"/>
        <v>257</v>
      </c>
      <c r="B266" s="3">
        <f t="shared" si="6"/>
        <v>315200.3445</v>
      </c>
      <c r="C266" s="3">
        <f t="shared" si="1"/>
        <v>656.6673845</v>
      </c>
      <c r="D266" s="3">
        <f t="shared" si="2"/>
        <v>2899.420705</v>
      </c>
      <c r="E266" s="3">
        <f t="shared" si="3"/>
        <v>3556.088089</v>
      </c>
      <c r="F266" s="3"/>
      <c r="G266" s="3">
        <f t="shared" si="4"/>
        <v>312300.9238</v>
      </c>
    </row>
    <row r="267" ht="15.75" customHeight="1">
      <c r="A267" s="1">
        <f t="shared" si="5"/>
        <v>258</v>
      </c>
      <c r="B267" s="3">
        <f t="shared" si="6"/>
        <v>312300.9238</v>
      </c>
      <c r="C267" s="3">
        <f t="shared" si="1"/>
        <v>650.6269247</v>
      </c>
      <c r="D267" s="3">
        <f t="shared" si="2"/>
        <v>2905.461165</v>
      </c>
      <c r="E267" s="3">
        <f t="shared" si="3"/>
        <v>3556.088089</v>
      </c>
      <c r="F267" s="3"/>
      <c r="G267" s="3">
        <f t="shared" si="4"/>
        <v>309395.4627</v>
      </c>
    </row>
    <row r="268" ht="15.75" customHeight="1">
      <c r="A268" s="1">
        <f t="shared" si="5"/>
        <v>259</v>
      </c>
      <c r="B268" s="3">
        <f t="shared" si="6"/>
        <v>309395.4627</v>
      </c>
      <c r="C268" s="3">
        <f t="shared" si="1"/>
        <v>644.5738806</v>
      </c>
      <c r="D268" s="3">
        <f t="shared" si="2"/>
        <v>2911.514209</v>
      </c>
      <c r="E268" s="3">
        <f t="shared" si="3"/>
        <v>3556.088089</v>
      </c>
      <c r="F268" s="3"/>
      <c r="G268" s="3">
        <f t="shared" si="4"/>
        <v>306483.9485</v>
      </c>
    </row>
    <row r="269" ht="15.75" customHeight="1">
      <c r="A269" s="1">
        <f t="shared" si="5"/>
        <v>260</v>
      </c>
      <c r="B269" s="3">
        <f t="shared" si="6"/>
        <v>306483.9485</v>
      </c>
      <c r="C269" s="3">
        <f t="shared" si="1"/>
        <v>638.508226</v>
      </c>
      <c r="D269" s="3">
        <f t="shared" si="2"/>
        <v>2917.579863</v>
      </c>
      <c r="E269" s="3">
        <f t="shared" si="3"/>
        <v>3556.088089</v>
      </c>
      <c r="F269" s="3"/>
      <c r="G269" s="3">
        <f t="shared" si="4"/>
        <v>303566.3686</v>
      </c>
    </row>
    <row r="270" ht="15.75" customHeight="1">
      <c r="A270" s="1">
        <f t="shared" si="5"/>
        <v>261</v>
      </c>
      <c r="B270" s="3">
        <f t="shared" si="6"/>
        <v>303566.3686</v>
      </c>
      <c r="C270" s="3">
        <f t="shared" si="1"/>
        <v>632.4299346</v>
      </c>
      <c r="D270" s="3">
        <f t="shared" si="2"/>
        <v>2923.658155</v>
      </c>
      <c r="E270" s="3">
        <f t="shared" si="3"/>
        <v>3556.088089</v>
      </c>
      <c r="F270" s="3"/>
      <c r="G270" s="3">
        <f t="shared" si="4"/>
        <v>300642.7104</v>
      </c>
    </row>
    <row r="271" ht="15.75" customHeight="1">
      <c r="A271" s="1">
        <f t="shared" si="5"/>
        <v>262</v>
      </c>
      <c r="B271" s="3">
        <f t="shared" si="6"/>
        <v>300642.7104</v>
      </c>
      <c r="C271" s="3">
        <f t="shared" si="1"/>
        <v>626.3389801</v>
      </c>
      <c r="D271" s="3">
        <f t="shared" si="2"/>
        <v>2929.749109</v>
      </c>
      <c r="E271" s="3">
        <f t="shared" si="3"/>
        <v>3556.088089</v>
      </c>
      <c r="F271" s="3"/>
      <c r="G271" s="3">
        <f t="shared" si="4"/>
        <v>297712.9613</v>
      </c>
    </row>
    <row r="272" ht="15.75" customHeight="1">
      <c r="A272" s="1">
        <f t="shared" si="5"/>
        <v>263</v>
      </c>
      <c r="B272" s="3">
        <f t="shared" si="6"/>
        <v>297712.9613</v>
      </c>
      <c r="C272" s="3">
        <f t="shared" si="1"/>
        <v>620.2353361</v>
      </c>
      <c r="D272" s="3">
        <f t="shared" si="2"/>
        <v>2935.852753</v>
      </c>
      <c r="E272" s="3">
        <f t="shared" si="3"/>
        <v>3556.088089</v>
      </c>
      <c r="F272" s="3"/>
      <c r="G272" s="3">
        <f t="shared" si="4"/>
        <v>294777.1086</v>
      </c>
    </row>
    <row r="273" ht="15.75" customHeight="1">
      <c r="A273" s="1">
        <f t="shared" si="5"/>
        <v>264</v>
      </c>
      <c r="B273" s="3">
        <f t="shared" si="6"/>
        <v>294777.1086</v>
      </c>
      <c r="C273" s="3">
        <f t="shared" si="1"/>
        <v>614.1189762</v>
      </c>
      <c r="D273" s="3">
        <f t="shared" si="2"/>
        <v>2941.969113</v>
      </c>
      <c r="E273" s="3">
        <f t="shared" si="3"/>
        <v>3556.088089</v>
      </c>
      <c r="F273" s="3"/>
      <c r="G273" s="3">
        <f t="shared" si="4"/>
        <v>291835.1395</v>
      </c>
    </row>
    <row r="274" ht="15.75" customHeight="1">
      <c r="A274" s="1">
        <f t="shared" si="5"/>
        <v>265</v>
      </c>
      <c r="B274" s="3">
        <f t="shared" si="6"/>
        <v>291835.1395</v>
      </c>
      <c r="C274" s="3">
        <f t="shared" si="1"/>
        <v>607.9898739</v>
      </c>
      <c r="D274" s="3">
        <f t="shared" si="2"/>
        <v>2948.098215</v>
      </c>
      <c r="E274" s="3">
        <f t="shared" si="3"/>
        <v>3556.088089</v>
      </c>
      <c r="F274" s="3"/>
      <c r="G274" s="3">
        <f t="shared" si="4"/>
        <v>288887.0413</v>
      </c>
    </row>
    <row r="275" ht="15.75" customHeight="1">
      <c r="A275" s="1">
        <f t="shared" si="5"/>
        <v>266</v>
      </c>
      <c r="B275" s="3">
        <f t="shared" si="6"/>
        <v>288887.0413</v>
      </c>
      <c r="C275" s="3">
        <f t="shared" si="1"/>
        <v>601.8480026</v>
      </c>
      <c r="D275" s="3">
        <f t="shared" si="2"/>
        <v>2954.240087</v>
      </c>
      <c r="E275" s="3">
        <f t="shared" si="3"/>
        <v>3556.088089</v>
      </c>
      <c r="F275" s="3"/>
      <c r="G275" s="3">
        <f t="shared" si="4"/>
        <v>285932.8012</v>
      </c>
    </row>
    <row r="276" ht="15.75" customHeight="1">
      <c r="A276" s="1">
        <f t="shared" si="5"/>
        <v>267</v>
      </c>
      <c r="B276" s="3">
        <f t="shared" si="6"/>
        <v>285932.8012</v>
      </c>
      <c r="C276" s="3">
        <f t="shared" si="1"/>
        <v>595.6933358</v>
      </c>
      <c r="D276" s="3">
        <f t="shared" si="2"/>
        <v>2960.394754</v>
      </c>
      <c r="E276" s="3">
        <f t="shared" si="3"/>
        <v>3556.088089</v>
      </c>
      <c r="F276" s="3"/>
      <c r="G276" s="3">
        <f t="shared" si="4"/>
        <v>282972.4064</v>
      </c>
    </row>
    <row r="277" ht="15.75" customHeight="1">
      <c r="A277" s="1">
        <f t="shared" si="5"/>
        <v>268</v>
      </c>
      <c r="B277" s="3">
        <f t="shared" si="6"/>
        <v>282972.4064</v>
      </c>
      <c r="C277" s="3">
        <f t="shared" si="1"/>
        <v>589.5258467</v>
      </c>
      <c r="D277" s="3">
        <f t="shared" si="2"/>
        <v>2966.562243</v>
      </c>
      <c r="E277" s="3">
        <f t="shared" si="3"/>
        <v>3556.088089</v>
      </c>
      <c r="F277" s="3"/>
      <c r="G277" s="3">
        <f t="shared" si="4"/>
        <v>280005.8442</v>
      </c>
    </row>
    <row r="278" ht="15.75" customHeight="1">
      <c r="A278" s="1">
        <f t="shared" si="5"/>
        <v>269</v>
      </c>
      <c r="B278" s="3">
        <f t="shared" si="6"/>
        <v>280005.8442</v>
      </c>
      <c r="C278" s="3">
        <f t="shared" si="1"/>
        <v>583.3455087</v>
      </c>
      <c r="D278" s="3">
        <f t="shared" si="2"/>
        <v>2972.742581</v>
      </c>
      <c r="E278" s="3">
        <f t="shared" si="3"/>
        <v>3556.088089</v>
      </c>
      <c r="F278" s="3"/>
      <c r="G278" s="3">
        <f t="shared" si="4"/>
        <v>277033.1016</v>
      </c>
    </row>
    <row r="279" ht="15.75" customHeight="1">
      <c r="A279" s="1">
        <f t="shared" si="5"/>
        <v>270</v>
      </c>
      <c r="B279" s="3">
        <f t="shared" si="6"/>
        <v>277033.1016</v>
      </c>
      <c r="C279" s="3">
        <f t="shared" si="1"/>
        <v>577.152295</v>
      </c>
      <c r="D279" s="3">
        <f t="shared" si="2"/>
        <v>2978.935794</v>
      </c>
      <c r="E279" s="3">
        <f t="shared" si="3"/>
        <v>3556.088089</v>
      </c>
      <c r="F279" s="3"/>
      <c r="G279" s="3">
        <f t="shared" si="4"/>
        <v>274054.1658</v>
      </c>
    </row>
    <row r="280" ht="15.75" customHeight="1">
      <c r="A280" s="1">
        <f t="shared" si="5"/>
        <v>271</v>
      </c>
      <c r="B280" s="3">
        <f t="shared" si="6"/>
        <v>274054.1658</v>
      </c>
      <c r="C280" s="3">
        <f t="shared" si="1"/>
        <v>570.9461787</v>
      </c>
      <c r="D280" s="3">
        <f t="shared" si="2"/>
        <v>2985.141911</v>
      </c>
      <c r="E280" s="3">
        <f t="shared" si="3"/>
        <v>3556.088089</v>
      </c>
      <c r="F280" s="3"/>
      <c r="G280" s="3">
        <f t="shared" si="4"/>
        <v>271069.0239</v>
      </c>
    </row>
    <row r="281" ht="15.75" customHeight="1">
      <c r="A281" s="1">
        <f t="shared" si="5"/>
        <v>272</v>
      </c>
      <c r="B281" s="3">
        <f t="shared" si="6"/>
        <v>271069.0239</v>
      </c>
      <c r="C281" s="3">
        <f t="shared" si="1"/>
        <v>564.7271331</v>
      </c>
      <c r="D281" s="3">
        <f t="shared" si="2"/>
        <v>2991.360956</v>
      </c>
      <c r="E281" s="3">
        <f t="shared" si="3"/>
        <v>3556.088089</v>
      </c>
      <c r="F281" s="3"/>
      <c r="G281" s="3">
        <f t="shared" si="4"/>
        <v>268077.6629</v>
      </c>
    </row>
    <row r="282" ht="15.75" customHeight="1">
      <c r="A282" s="1">
        <f t="shared" si="5"/>
        <v>273</v>
      </c>
      <c r="B282" s="3">
        <f t="shared" si="6"/>
        <v>268077.6629</v>
      </c>
      <c r="C282" s="3">
        <f t="shared" si="1"/>
        <v>558.4951311</v>
      </c>
      <c r="D282" s="3">
        <f t="shared" si="2"/>
        <v>2997.592958</v>
      </c>
      <c r="E282" s="3">
        <f t="shared" si="3"/>
        <v>3556.088089</v>
      </c>
      <c r="F282" s="3"/>
      <c r="G282" s="3">
        <f t="shared" si="4"/>
        <v>265080.07</v>
      </c>
    </row>
    <row r="283" ht="15.75" customHeight="1">
      <c r="A283" s="1">
        <f t="shared" si="5"/>
        <v>274</v>
      </c>
      <c r="B283" s="3">
        <f t="shared" si="6"/>
        <v>265080.07</v>
      </c>
      <c r="C283" s="3">
        <f t="shared" si="1"/>
        <v>552.2501458</v>
      </c>
      <c r="D283" s="3">
        <f t="shared" si="2"/>
        <v>3003.837944</v>
      </c>
      <c r="E283" s="3">
        <f t="shared" si="3"/>
        <v>3556.088089</v>
      </c>
      <c r="F283" s="3"/>
      <c r="G283" s="3">
        <f t="shared" si="4"/>
        <v>262076.232</v>
      </c>
    </row>
    <row r="284" ht="15.75" customHeight="1">
      <c r="A284" s="1">
        <f t="shared" si="5"/>
        <v>275</v>
      </c>
      <c r="B284" s="3">
        <f t="shared" si="6"/>
        <v>262076.232</v>
      </c>
      <c r="C284" s="3">
        <f t="shared" si="1"/>
        <v>545.9921501</v>
      </c>
      <c r="D284" s="3">
        <f t="shared" si="2"/>
        <v>3010.095939</v>
      </c>
      <c r="E284" s="3">
        <f t="shared" si="3"/>
        <v>3556.088089</v>
      </c>
      <c r="F284" s="3"/>
      <c r="G284" s="3">
        <f t="shared" si="4"/>
        <v>259066.1361</v>
      </c>
    </row>
    <row r="285" ht="15.75" customHeight="1">
      <c r="A285" s="1">
        <f t="shared" si="5"/>
        <v>276</v>
      </c>
      <c r="B285" s="3">
        <f t="shared" si="6"/>
        <v>259066.1361</v>
      </c>
      <c r="C285" s="3">
        <f t="shared" si="1"/>
        <v>539.7211168</v>
      </c>
      <c r="D285" s="3">
        <f t="shared" si="2"/>
        <v>3016.366973</v>
      </c>
      <c r="E285" s="3">
        <f t="shared" si="3"/>
        <v>3556.088089</v>
      </c>
      <c r="F285" s="3"/>
      <c r="G285" s="3">
        <f t="shared" si="4"/>
        <v>256049.7691</v>
      </c>
    </row>
    <row r="286" ht="15.75" customHeight="1">
      <c r="A286" s="1">
        <f t="shared" si="5"/>
        <v>277</v>
      </c>
      <c r="B286" s="3">
        <f t="shared" si="6"/>
        <v>256049.7691</v>
      </c>
      <c r="C286" s="3">
        <f t="shared" si="1"/>
        <v>533.437019</v>
      </c>
      <c r="D286" s="3">
        <f t="shared" si="2"/>
        <v>3022.65107</v>
      </c>
      <c r="E286" s="3">
        <f t="shared" si="3"/>
        <v>3556.088089</v>
      </c>
      <c r="F286" s="3"/>
      <c r="G286" s="3">
        <f t="shared" si="4"/>
        <v>253027.118</v>
      </c>
    </row>
    <row r="287" ht="15.75" customHeight="1">
      <c r="A287" s="1">
        <f t="shared" si="5"/>
        <v>278</v>
      </c>
      <c r="B287" s="3">
        <f t="shared" si="6"/>
        <v>253027.118</v>
      </c>
      <c r="C287" s="3">
        <f t="shared" si="1"/>
        <v>527.1398293</v>
      </c>
      <c r="D287" s="3">
        <f t="shared" si="2"/>
        <v>3028.94826</v>
      </c>
      <c r="E287" s="3">
        <f t="shared" si="3"/>
        <v>3556.088089</v>
      </c>
      <c r="F287" s="3"/>
      <c r="G287" s="3">
        <f t="shared" si="4"/>
        <v>249998.1698</v>
      </c>
    </row>
    <row r="288" ht="15.75" customHeight="1">
      <c r="A288" s="1">
        <f t="shared" si="5"/>
        <v>279</v>
      </c>
      <c r="B288" s="3">
        <f t="shared" si="6"/>
        <v>249998.1698</v>
      </c>
      <c r="C288" s="3">
        <f t="shared" si="1"/>
        <v>520.8295204</v>
      </c>
      <c r="D288" s="3">
        <f t="shared" si="2"/>
        <v>3035.258569</v>
      </c>
      <c r="E288" s="3">
        <f t="shared" si="3"/>
        <v>3556.088089</v>
      </c>
      <c r="F288" s="3"/>
      <c r="G288" s="3">
        <f t="shared" si="4"/>
        <v>246962.9112</v>
      </c>
    </row>
    <row r="289" ht="15.75" customHeight="1">
      <c r="A289" s="1">
        <f t="shared" si="5"/>
        <v>280</v>
      </c>
      <c r="B289" s="3">
        <f t="shared" si="6"/>
        <v>246962.9112</v>
      </c>
      <c r="C289" s="3">
        <f t="shared" si="1"/>
        <v>514.506065</v>
      </c>
      <c r="D289" s="3">
        <f t="shared" si="2"/>
        <v>3041.582024</v>
      </c>
      <c r="E289" s="3">
        <f t="shared" si="3"/>
        <v>3556.088089</v>
      </c>
      <c r="F289" s="3"/>
      <c r="G289" s="3">
        <f t="shared" si="4"/>
        <v>243921.3292</v>
      </c>
    </row>
    <row r="290" ht="15.75" customHeight="1">
      <c r="A290" s="1">
        <f t="shared" si="5"/>
        <v>281</v>
      </c>
      <c r="B290" s="3">
        <f t="shared" si="6"/>
        <v>243921.3292</v>
      </c>
      <c r="C290" s="3">
        <f t="shared" si="1"/>
        <v>508.1694358</v>
      </c>
      <c r="D290" s="3">
        <f t="shared" si="2"/>
        <v>3047.918654</v>
      </c>
      <c r="E290" s="3">
        <f t="shared" si="3"/>
        <v>3556.088089</v>
      </c>
      <c r="F290" s="3"/>
      <c r="G290" s="3">
        <f t="shared" si="4"/>
        <v>240873.4105</v>
      </c>
    </row>
    <row r="291" ht="15.75" customHeight="1">
      <c r="A291" s="1">
        <f t="shared" si="5"/>
        <v>282</v>
      </c>
      <c r="B291" s="3">
        <f t="shared" si="6"/>
        <v>240873.4105</v>
      </c>
      <c r="C291" s="3">
        <f t="shared" si="1"/>
        <v>501.8196053</v>
      </c>
      <c r="D291" s="3">
        <f t="shared" si="2"/>
        <v>3054.268484</v>
      </c>
      <c r="E291" s="3">
        <f t="shared" si="3"/>
        <v>3556.088089</v>
      </c>
      <c r="F291" s="3"/>
      <c r="G291" s="3">
        <f t="shared" si="4"/>
        <v>237819.1421</v>
      </c>
    </row>
    <row r="292" ht="15.75" customHeight="1">
      <c r="A292" s="1">
        <f t="shared" si="5"/>
        <v>283</v>
      </c>
      <c r="B292" s="3">
        <f t="shared" si="6"/>
        <v>237819.1421</v>
      </c>
      <c r="C292" s="3">
        <f t="shared" si="1"/>
        <v>495.4565459</v>
      </c>
      <c r="D292" s="3">
        <f t="shared" si="2"/>
        <v>3060.631543</v>
      </c>
      <c r="E292" s="3">
        <f t="shared" si="3"/>
        <v>3556.088089</v>
      </c>
      <c r="F292" s="3"/>
      <c r="G292" s="3">
        <f t="shared" si="4"/>
        <v>234758.5105</v>
      </c>
    </row>
    <row r="293" ht="15.75" customHeight="1">
      <c r="A293" s="1">
        <f t="shared" si="5"/>
        <v>284</v>
      </c>
      <c r="B293" s="3">
        <f t="shared" si="6"/>
        <v>234758.5105</v>
      </c>
      <c r="C293" s="3">
        <f t="shared" si="1"/>
        <v>489.0802302</v>
      </c>
      <c r="D293" s="3">
        <f t="shared" si="2"/>
        <v>3067.007859</v>
      </c>
      <c r="E293" s="3">
        <f t="shared" si="3"/>
        <v>3556.088089</v>
      </c>
      <c r="F293" s="3"/>
      <c r="G293" s="3">
        <f t="shared" si="4"/>
        <v>231691.5027</v>
      </c>
    </row>
    <row r="294" ht="15.75" customHeight="1">
      <c r="A294" s="1">
        <f t="shared" si="5"/>
        <v>285</v>
      </c>
      <c r="B294" s="3">
        <f t="shared" si="6"/>
        <v>231691.5027</v>
      </c>
      <c r="C294" s="3">
        <f t="shared" si="1"/>
        <v>482.6906305</v>
      </c>
      <c r="D294" s="3">
        <f t="shared" si="2"/>
        <v>3073.397459</v>
      </c>
      <c r="E294" s="3">
        <f t="shared" si="3"/>
        <v>3556.088089</v>
      </c>
      <c r="F294" s="3"/>
      <c r="G294" s="3">
        <f t="shared" si="4"/>
        <v>228618.1052</v>
      </c>
    </row>
    <row r="295" ht="15.75" customHeight="1">
      <c r="A295" s="1">
        <f t="shared" si="5"/>
        <v>286</v>
      </c>
      <c r="B295" s="3">
        <f t="shared" si="6"/>
        <v>228618.1052</v>
      </c>
      <c r="C295" s="3">
        <f t="shared" si="1"/>
        <v>476.2877191</v>
      </c>
      <c r="D295" s="3">
        <f t="shared" si="2"/>
        <v>3079.80037</v>
      </c>
      <c r="E295" s="3">
        <f t="shared" si="3"/>
        <v>3556.088089</v>
      </c>
      <c r="F295" s="3"/>
      <c r="G295" s="3">
        <f t="shared" si="4"/>
        <v>225538.3048</v>
      </c>
    </row>
    <row r="296" ht="15.75" customHeight="1">
      <c r="A296" s="1">
        <f t="shared" si="5"/>
        <v>287</v>
      </c>
      <c r="B296" s="3">
        <f t="shared" si="6"/>
        <v>225538.3048</v>
      </c>
      <c r="C296" s="3">
        <f t="shared" si="1"/>
        <v>469.8714684</v>
      </c>
      <c r="D296" s="3">
        <f t="shared" si="2"/>
        <v>3086.216621</v>
      </c>
      <c r="E296" s="3">
        <f t="shared" si="3"/>
        <v>3556.088089</v>
      </c>
      <c r="F296" s="3"/>
      <c r="G296" s="3">
        <f t="shared" si="4"/>
        <v>222452.0882</v>
      </c>
    </row>
    <row r="297" ht="15.75" customHeight="1">
      <c r="A297" s="1">
        <f t="shared" si="5"/>
        <v>288</v>
      </c>
      <c r="B297" s="3">
        <f t="shared" si="6"/>
        <v>222452.0882</v>
      </c>
      <c r="C297" s="3">
        <f t="shared" si="1"/>
        <v>463.4418504</v>
      </c>
      <c r="D297" s="3">
        <f t="shared" si="2"/>
        <v>3092.646239</v>
      </c>
      <c r="E297" s="3">
        <f t="shared" si="3"/>
        <v>3556.088089</v>
      </c>
      <c r="F297" s="3"/>
      <c r="G297" s="3">
        <f t="shared" si="4"/>
        <v>219359.442</v>
      </c>
    </row>
    <row r="298" ht="15.75" customHeight="1">
      <c r="A298" s="1">
        <f t="shared" si="5"/>
        <v>289</v>
      </c>
      <c r="B298" s="3">
        <f t="shared" si="6"/>
        <v>219359.442</v>
      </c>
      <c r="C298" s="3">
        <f t="shared" si="1"/>
        <v>456.9988374</v>
      </c>
      <c r="D298" s="3">
        <f t="shared" si="2"/>
        <v>3099.089252</v>
      </c>
      <c r="E298" s="3">
        <f t="shared" si="3"/>
        <v>3556.088089</v>
      </c>
      <c r="F298" s="3"/>
      <c r="G298" s="3">
        <f t="shared" si="4"/>
        <v>216260.3527</v>
      </c>
    </row>
    <row r="299" ht="15.75" customHeight="1">
      <c r="A299" s="1">
        <f t="shared" si="5"/>
        <v>290</v>
      </c>
      <c r="B299" s="3">
        <f t="shared" si="6"/>
        <v>216260.3527</v>
      </c>
      <c r="C299" s="3">
        <f t="shared" si="1"/>
        <v>450.5424015</v>
      </c>
      <c r="D299" s="3">
        <f t="shared" si="2"/>
        <v>3105.545688</v>
      </c>
      <c r="E299" s="3">
        <f t="shared" si="3"/>
        <v>3556.088089</v>
      </c>
      <c r="F299" s="3"/>
      <c r="G299" s="3">
        <f t="shared" si="4"/>
        <v>213154.807</v>
      </c>
    </row>
    <row r="300" ht="15.75" customHeight="1">
      <c r="A300" s="1">
        <f t="shared" si="5"/>
        <v>291</v>
      </c>
      <c r="B300" s="3">
        <f t="shared" si="6"/>
        <v>213154.807</v>
      </c>
      <c r="C300" s="3">
        <f t="shared" si="1"/>
        <v>444.0725146</v>
      </c>
      <c r="D300" s="3">
        <f t="shared" si="2"/>
        <v>3112.015575</v>
      </c>
      <c r="E300" s="3">
        <f t="shared" si="3"/>
        <v>3556.088089</v>
      </c>
      <c r="F300" s="3"/>
      <c r="G300" s="3">
        <f t="shared" si="4"/>
        <v>210042.7914</v>
      </c>
    </row>
    <row r="301" ht="15.75" customHeight="1">
      <c r="A301" s="1">
        <f t="shared" si="5"/>
        <v>292</v>
      </c>
      <c r="B301" s="3">
        <f t="shared" si="6"/>
        <v>210042.7914</v>
      </c>
      <c r="C301" s="3">
        <f t="shared" si="1"/>
        <v>437.5891488</v>
      </c>
      <c r="D301" s="3">
        <f t="shared" si="2"/>
        <v>3118.498941</v>
      </c>
      <c r="E301" s="3">
        <f t="shared" si="3"/>
        <v>3556.088089</v>
      </c>
      <c r="F301" s="3"/>
      <c r="G301" s="3">
        <f t="shared" si="4"/>
        <v>206924.2925</v>
      </c>
    </row>
    <row r="302" ht="15.75" customHeight="1">
      <c r="A302" s="1">
        <f t="shared" si="5"/>
        <v>293</v>
      </c>
      <c r="B302" s="3">
        <f t="shared" si="6"/>
        <v>206924.2925</v>
      </c>
      <c r="C302" s="3">
        <f t="shared" si="1"/>
        <v>431.0922761</v>
      </c>
      <c r="D302" s="3">
        <f t="shared" si="2"/>
        <v>3124.995813</v>
      </c>
      <c r="E302" s="3">
        <f t="shared" si="3"/>
        <v>3556.088089</v>
      </c>
      <c r="F302" s="3"/>
      <c r="G302" s="3">
        <f t="shared" si="4"/>
        <v>203799.2967</v>
      </c>
    </row>
    <row r="303" ht="15.75" customHeight="1">
      <c r="A303" s="1">
        <f t="shared" si="5"/>
        <v>294</v>
      </c>
      <c r="B303" s="3">
        <f t="shared" si="6"/>
        <v>203799.2967</v>
      </c>
      <c r="C303" s="3">
        <f t="shared" si="1"/>
        <v>424.5818681</v>
      </c>
      <c r="D303" s="3">
        <f t="shared" si="2"/>
        <v>3131.506221</v>
      </c>
      <c r="E303" s="3">
        <f t="shared" si="3"/>
        <v>3556.088089</v>
      </c>
      <c r="F303" s="3"/>
      <c r="G303" s="3">
        <f t="shared" si="4"/>
        <v>200667.7905</v>
      </c>
    </row>
    <row r="304" ht="15.75" customHeight="1">
      <c r="A304" s="1">
        <f t="shared" si="5"/>
        <v>295</v>
      </c>
      <c r="B304" s="3">
        <f t="shared" si="6"/>
        <v>200667.7905</v>
      </c>
      <c r="C304" s="3">
        <f t="shared" si="1"/>
        <v>418.0578968</v>
      </c>
      <c r="D304" s="3">
        <f t="shared" si="2"/>
        <v>3138.030193</v>
      </c>
      <c r="E304" s="3">
        <f t="shared" si="3"/>
        <v>3556.088089</v>
      </c>
      <c r="F304" s="3"/>
      <c r="G304" s="3">
        <f t="shared" si="4"/>
        <v>197529.7603</v>
      </c>
    </row>
    <row r="305" ht="15.75" customHeight="1">
      <c r="A305" s="1">
        <f t="shared" si="5"/>
        <v>296</v>
      </c>
      <c r="B305" s="3">
        <f t="shared" si="6"/>
        <v>197529.7603</v>
      </c>
      <c r="C305" s="3">
        <f t="shared" si="1"/>
        <v>411.5203339</v>
      </c>
      <c r="D305" s="3">
        <f t="shared" si="2"/>
        <v>3144.567755</v>
      </c>
      <c r="E305" s="3">
        <f t="shared" si="3"/>
        <v>3556.088089</v>
      </c>
      <c r="F305" s="3"/>
      <c r="G305" s="3">
        <f t="shared" si="4"/>
        <v>194385.1925</v>
      </c>
    </row>
    <row r="306" ht="15.75" customHeight="1">
      <c r="A306" s="1">
        <f t="shared" si="5"/>
        <v>297</v>
      </c>
      <c r="B306" s="3">
        <f t="shared" si="6"/>
        <v>194385.1925</v>
      </c>
      <c r="C306" s="3">
        <f t="shared" si="1"/>
        <v>404.9691511</v>
      </c>
      <c r="D306" s="3">
        <f t="shared" si="2"/>
        <v>3151.118938</v>
      </c>
      <c r="E306" s="3">
        <f t="shared" si="3"/>
        <v>3556.088089</v>
      </c>
      <c r="F306" s="3"/>
      <c r="G306" s="3">
        <f t="shared" si="4"/>
        <v>191234.0736</v>
      </c>
    </row>
    <row r="307" ht="15.75" customHeight="1">
      <c r="A307" s="1">
        <f t="shared" si="5"/>
        <v>298</v>
      </c>
      <c r="B307" s="3">
        <f t="shared" si="6"/>
        <v>191234.0736</v>
      </c>
      <c r="C307" s="3">
        <f t="shared" si="1"/>
        <v>398.40432</v>
      </c>
      <c r="D307" s="3">
        <f t="shared" si="2"/>
        <v>3157.683769</v>
      </c>
      <c r="E307" s="3">
        <f t="shared" si="3"/>
        <v>3556.088089</v>
      </c>
      <c r="F307" s="3"/>
      <c r="G307" s="3">
        <f t="shared" si="4"/>
        <v>188076.3898</v>
      </c>
    </row>
    <row r="308" ht="15.75" customHeight="1">
      <c r="A308" s="1">
        <f t="shared" si="5"/>
        <v>299</v>
      </c>
      <c r="B308" s="3">
        <f t="shared" si="6"/>
        <v>188076.3898</v>
      </c>
      <c r="C308" s="3">
        <f t="shared" si="1"/>
        <v>391.8258121</v>
      </c>
      <c r="D308" s="3">
        <f t="shared" si="2"/>
        <v>3164.262277</v>
      </c>
      <c r="E308" s="3">
        <f t="shared" si="3"/>
        <v>3556.088089</v>
      </c>
      <c r="F308" s="3"/>
      <c r="G308" s="3">
        <f t="shared" si="4"/>
        <v>184912.1275</v>
      </c>
    </row>
    <row r="309" ht="15.75" customHeight="1">
      <c r="A309" s="1">
        <f t="shared" si="5"/>
        <v>300</v>
      </c>
      <c r="B309" s="3">
        <f t="shared" si="6"/>
        <v>184912.1275</v>
      </c>
      <c r="C309" s="3">
        <f t="shared" si="1"/>
        <v>385.233599</v>
      </c>
      <c r="D309" s="3">
        <f t="shared" si="2"/>
        <v>3170.85449</v>
      </c>
      <c r="E309" s="3">
        <f t="shared" si="3"/>
        <v>3556.088089</v>
      </c>
      <c r="F309" s="3"/>
      <c r="G309" s="3">
        <f t="shared" si="4"/>
        <v>181741.273</v>
      </c>
    </row>
    <row r="310" ht="15.75" customHeight="1">
      <c r="B310" s="3"/>
      <c r="C310" s="3"/>
      <c r="D310" s="3"/>
      <c r="E310" s="3"/>
      <c r="F310" s="3"/>
      <c r="G310" s="3"/>
    </row>
    <row r="311" ht="15.75" customHeight="1">
      <c r="B311" s="3"/>
      <c r="C311" s="3"/>
      <c r="D311" s="3"/>
      <c r="E311" s="3"/>
      <c r="F311" s="3"/>
      <c r="G311" s="3"/>
    </row>
    <row r="312" ht="15.75" customHeight="1">
      <c r="B312" s="3"/>
      <c r="C312" s="3"/>
      <c r="D312" s="3"/>
      <c r="E312" s="3"/>
      <c r="F312" s="3"/>
      <c r="G312" s="3"/>
    </row>
    <row r="313" ht="15.75" customHeight="1">
      <c r="B313" s="3"/>
      <c r="C313" s="3"/>
      <c r="D313" s="3"/>
      <c r="E313" s="3"/>
      <c r="F313" s="3"/>
      <c r="G313" s="3"/>
    </row>
    <row r="314" ht="15.75" customHeight="1">
      <c r="B314" s="3"/>
      <c r="C314" s="3"/>
      <c r="D314" s="3"/>
      <c r="E314" s="3"/>
      <c r="F314" s="3"/>
      <c r="G314" s="3"/>
    </row>
    <row r="315" ht="15.75" customHeight="1">
      <c r="B315" s="3"/>
      <c r="C315" s="3"/>
      <c r="D315" s="3"/>
      <c r="E315" s="3"/>
      <c r="F315" s="3"/>
      <c r="G315" s="3"/>
    </row>
    <row r="316" ht="15.75" customHeight="1">
      <c r="B316" s="3"/>
      <c r="C316" s="3"/>
      <c r="D316" s="3"/>
      <c r="E316" s="3"/>
      <c r="F316" s="3"/>
      <c r="G316" s="3"/>
    </row>
    <row r="317" ht="15.75" customHeight="1">
      <c r="B317" s="3"/>
      <c r="C317" s="3"/>
      <c r="D317" s="3"/>
      <c r="E317" s="3"/>
      <c r="F317" s="3"/>
      <c r="G317" s="3"/>
    </row>
    <row r="318" ht="15.75" customHeight="1">
      <c r="B318" s="3"/>
      <c r="C318" s="3"/>
      <c r="D318" s="3"/>
      <c r="E318" s="3"/>
      <c r="F318" s="3"/>
      <c r="G318" s="3"/>
    </row>
    <row r="319" ht="15.75" customHeight="1">
      <c r="B319" s="3"/>
      <c r="C319" s="3"/>
      <c r="D319" s="3"/>
      <c r="E319" s="3"/>
      <c r="F319" s="3"/>
      <c r="G319" s="3"/>
    </row>
    <row r="320" ht="15.75" customHeight="1">
      <c r="B320" s="3"/>
      <c r="C320" s="3"/>
      <c r="D320" s="3"/>
      <c r="E320" s="3"/>
      <c r="F320" s="3"/>
      <c r="G320" s="3"/>
    </row>
    <row r="321" ht="15.75" customHeight="1">
      <c r="B321" s="3"/>
      <c r="C321" s="3"/>
      <c r="D321" s="3"/>
      <c r="E321" s="3"/>
      <c r="F321" s="3"/>
      <c r="G321" s="3"/>
    </row>
    <row r="322" ht="15.75" customHeight="1">
      <c r="B322" s="3"/>
      <c r="C322" s="3"/>
      <c r="D322" s="3"/>
      <c r="E322" s="3"/>
      <c r="F322" s="3"/>
      <c r="G322" s="3"/>
    </row>
    <row r="323" ht="15.75" customHeight="1">
      <c r="B323" s="3"/>
      <c r="C323" s="3"/>
      <c r="D323" s="3"/>
      <c r="E323" s="3"/>
      <c r="F323" s="3"/>
      <c r="G323" s="3"/>
    </row>
    <row r="324" ht="15.75" customHeight="1">
      <c r="B324" s="3"/>
      <c r="C324" s="3"/>
      <c r="D324" s="3"/>
      <c r="E324" s="3"/>
      <c r="F324" s="3"/>
      <c r="G324" s="3"/>
    </row>
    <row r="325" ht="15.75" customHeight="1">
      <c r="B325" s="3"/>
      <c r="C325" s="3"/>
      <c r="D325" s="3"/>
      <c r="E325" s="3"/>
      <c r="F325" s="3"/>
      <c r="G325" s="3"/>
    </row>
    <row r="326" ht="15.75" customHeight="1">
      <c r="B326" s="3"/>
      <c r="C326" s="3"/>
      <c r="D326" s="3"/>
      <c r="E326" s="3"/>
      <c r="F326" s="3"/>
      <c r="G326" s="3"/>
    </row>
    <row r="327" ht="15.75" customHeight="1">
      <c r="B327" s="3"/>
      <c r="C327" s="3"/>
      <c r="D327" s="3"/>
      <c r="E327" s="3"/>
      <c r="F327" s="3"/>
      <c r="G327" s="3"/>
    </row>
    <row r="328" ht="15.75" customHeight="1">
      <c r="B328" s="3"/>
      <c r="C328" s="3"/>
      <c r="D328" s="3"/>
      <c r="E328" s="3"/>
      <c r="F328" s="3"/>
      <c r="G328" s="3"/>
    </row>
    <row r="329" ht="15.75" customHeight="1">
      <c r="B329" s="3"/>
      <c r="C329" s="3"/>
      <c r="D329" s="3"/>
      <c r="E329" s="3"/>
      <c r="F329" s="3"/>
      <c r="G329" s="3"/>
    </row>
    <row r="330" ht="15.75" customHeight="1">
      <c r="B330" s="3"/>
      <c r="C330" s="3"/>
      <c r="D330" s="3"/>
      <c r="E330" s="3"/>
      <c r="F330" s="3"/>
      <c r="G330" s="3"/>
    </row>
    <row r="331" ht="15.75" customHeight="1">
      <c r="B331" s="3"/>
      <c r="C331" s="3"/>
      <c r="D331" s="3"/>
      <c r="E331" s="3"/>
      <c r="F331" s="3"/>
      <c r="G331" s="3"/>
    </row>
    <row r="332" ht="15.75" customHeight="1">
      <c r="B332" s="3"/>
      <c r="C332" s="3"/>
      <c r="D332" s="3"/>
      <c r="E332" s="3"/>
      <c r="F332" s="3"/>
      <c r="G332" s="3"/>
    </row>
    <row r="333" ht="15.75" customHeight="1">
      <c r="B333" s="3"/>
      <c r="C333" s="3"/>
      <c r="D333" s="3"/>
      <c r="E333" s="3"/>
      <c r="F333" s="3"/>
      <c r="G333" s="3"/>
    </row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2026-03-10T00:01:46Z</dcterms:created>
  <dc:creator>Torng Teh</dc:creator>
</cp:coreProperties>
</file>